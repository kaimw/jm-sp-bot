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324"/>
  </bookViews>
  <sheets>
    <sheet name="海外库存总表" sheetId="1" r:id="rId1"/>
  </sheets>
  <externalReferences>
    <externalReference r:id="rId2"/>
    <externalReference r:id="rId3"/>
  </externalReferences>
  <definedNames>
    <definedName name="_xlnm._FilterDatabase" localSheetId="0" hidden="1">海外库存总表!$A$1:$M$210</definedName>
    <definedName name="_sell_platform">[1]销售平台!$A$2:$A$74</definedName>
    <definedName name="COUNTRY">[1]国家简码详情!$C$2:$C$272</definedName>
    <definedName name="STATE_US">[2]美国州省!$C$2:$C$58</definedName>
    <definedName name="WAREHOUSE">[1]仓库代码!$B$2:$B$6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<sst xmlns="http://schemas.openxmlformats.org/spreadsheetml/2006/main" count="1081" uniqueCount="424">
  <si>
    <t>查询编号
FNSKU/EAN</t>
  </si>
  <si>
    <t>sku</t>
  </si>
  <si>
    <t>仓库</t>
  </si>
  <si>
    <t>Material Code
料号代码</t>
  </si>
  <si>
    <t>Chinese description of goods
中文品名</t>
  </si>
  <si>
    <t>产品系列</t>
  </si>
  <si>
    <t>产品系列2</t>
  </si>
  <si>
    <t>Model
型号</t>
  </si>
  <si>
    <t>库存数量</t>
  </si>
  <si>
    <t>库存预警</t>
  </si>
  <si>
    <t>在途数量</t>
  </si>
  <si>
    <t>待接收及转运数量</t>
  </si>
  <si>
    <t>6975925240203</t>
  </si>
  <si>
    <t>1300100048</t>
  </si>
  <si>
    <t>美西仓库</t>
  </si>
  <si>
    <t>-</t>
  </si>
  <si>
    <t>6975925240210</t>
  </si>
  <si>
    <t>1300100047</t>
  </si>
  <si>
    <t>6975925241293</t>
  </si>
  <si>
    <t>三维扫描仪Seal基础款(4规)</t>
  </si>
  <si>
    <t>三维扫描仪-JMS2</t>
  </si>
  <si>
    <t>Seal基础</t>
  </si>
  <si>
    <t>6975925241323</t>
  </si>
  <si>
    <t>三维扫描仪Seal Lite基础款(4规)</t>
  </si>
  <si>
    <t>三维扫描仪-JMS1</t>
  </si>
  <si>
    <t>Seal Lite基础</t>
  </si>
  <si>
    <t>6975925240746</t>
  </si>
  <si>
    <t>1300100118</t>
  </si>
  <si>
    <t>三维扫描仪备品备件</t>
  </si>
  <si>
    <t>普通转台</t>
  </si>
  <si>
    <t>6975925240753</t>
  </si>
  <si>
    <t>1200100064</t>
  </si>
  <si>
    <t>三脚架</t>
  </si>
  <si>
    <t>6975925240739</t>
  </si>
  <si>
    <t>1300100082</t>
  </si>
  <si>
    <t>智能手柄</t>
  </si>
  <si>
    <t>6975925241033</t>
  </si>
  <si>
    <t>6975925240227</t>
  </si>
  <si>
    <t>1300100066</t>
  </si>
  <si>
    <t>6975925240272</t>
  </si>
  <si>
    <t>1300100073</t>
  </si>
  <si>
    <t>6975925241354</t>
  </si>
  <si>
    <t>1300100139</t>
  </si>
  <si>
    <t>双轴转台</t>
  </si>
  <si>
    <t>6975925241378</t>
  </si>
  <si>
    <t>三维扫描仪Moose基础款(4规)</t>
  </si>
  <si>
    <t>Moose基础</t>
  </si>
  <si>
    <t>6975925241385</t>
  </si>
  <si>
    <t>三维扫描仪Moose升级款(4规)</t>
  </si>
  <si>
    <t>三维扫描仪-JMM3</t>
  </si>
  <si>
    <t>Moose升级</t>
  </si>
  <si>
    <t>JMM3</t>
  </si>
  <si>
    <t>6975925241392</t>
  </si>
  <si>
    <t>三维扫描仪Moose豪华款(4规)</t>
  </si>
  <si>
    <t>Moose豪华</t>
  </si>
  <si>
    <t>6975925241408</t>
  </si>
  <si>
    <t>三维扫描仪Moose Lite基础款(4规)</t>
  </si>
  <si>
    <t>Moose Lite基础</t>
  </si>
  <si>
    <t>6975925241415</t>
  </si>
  <si>
    <t>三维扫描仪Moose Lite升级款(4规)</t>
  </si>
  <si>
    <t>三维扫描仪-JMM4</t>
  </si>
  <si>
    <t>Moose Lite升级</t>
  </si>
  <si>
    <t>JMM4</t>
  </si>
  <si>
    <t>6975925241422</t>
  </si>
  <si>
    <t>Moose Lite豪华</t>
  </si>
  <si>
    <t>6975925241231</t>
  </si>
  <si>
    <t>JMK1 RTK</t>
  </si>
  <si>
    <t>6975925241248</t>
  </si>
  <si>
    <t>JMK2 RTK</t>
  </si>
  <si>
    <t>6975925241187</t>
  </si>
  <si>
    <t>6975925241194</t>
  </si>
  <si>
    <t>6975925241217</t>
  </si>
  <si>
    <t>背架套装</t>
  </si>
  <si>
    <t>6975925241279</t>
  </si>
  <si>
    <t>6975925240807</t>
  </si>
  <si>
    <t>6975925241286</t>
  </si>
  <si>
    <t>6975925241224</t>
  </si>
  <si>
    <t>6975925241200</t>
  </si>
  <si>
    <t>6975925241514</t>
  </si>
  <si>
    <t>三维扫描仪Toucan基础款(4规)</t>
  </si>
  <si>
    <t>三维扫描仪-Toucan</t>
  </si>
  <si>
    <t>Toucan基础</t>
  </si>
  <si>
    <t>JMM6</t>
  </si>
  <si>
    <t>6975925241453</t>
  </si>
  <si>
    <t>三维扫描仪Toucan升级款(4规)</t>
  </si>
  <si>
    <t>Toucan升级</t>
  </si>
  <si>
    <t>6975925241538</t>
  </si>
  <si>
    <t>Toucan三脚架套装</t>
  </si>
  <si>
    <t>6975925241521</t>
  </si>
  <si>
    <t>Toucan箱包套装</t>
  </si>
  <si>
    <t>6975925241545</t>
  </si>
  <si>
    <t>1300100248</t>
  </si>
  <si>
    <t>MTT2转台</t>
  </si>
  <si>
    <t>6975925241446</t>
  </si>
  <si>
    <t>三维扫描仪Hawk(4规)</t>
  </si>
  <si>
    <t>三维扫描仪-Hawk</t>
  </si>
  <si>
    <t>JMK5</t>
  </si>
  <si>
    <t>6975925241576</t>
  </si>
  <si>
    <t>1300100262</t>
  </si>
  <si>
    <t>三维扫描仪Raven Max升级款(4规）</t>
  </si>
  <si>
    <t>三维扫描仪-JMK6</t>
  </si>
  <si>
    <t>JMK6升级</t>
  </si>
  <si>
    <t>JMK6</t>
  </si>
  <si>
    <t>6975925241569</t>
  </si>
  <si>
    <t>1300100256</t>
  </si>
  <si>
    <t>三维扫描仪Raven Max基础款(4规)</t>
  </si>
  <si>
    <t>JMK6基础</t>
  </si>
  <si>
    <t>6975925241583</t>
  </si>
  <si>
    <t>1300100263</t>
  </si>
  <si>
    <t>三维扫描仪Raven(4规)</t>
  </si>
  <si>
    <t>三维扫描仪-JMK7</t>
  </si>
  <si>
    <t>JMK7</t>
  </si>
  <si>
    <t>6975925241613</t>
  </si>
  <si>
    <t>1300100260</t>
  </si>
  <si>
    <t>三维扫描仪FOX(4规)</t>
  </si>
  <si>
    <t>三维扫描仪-JMM8</t>
  </si>
  <si>
    <t>FOX</t>
  </si>
  <si>
    <t>JMM8</t>
  </si>
  <si>
    <t>6975925241637</t>
  </si>
  <si>
    <t>1300100245</t>
  </si>
  <si>
    <t>360相机套装</t>
  </si>
  <si>
    <t>6975925240517</t>
  </si>
  <si>
    <t>德国仓库</t>
  </si>
  <si>
    <t>Lynx基础</t>
  </si>
  <si>
    <t>6975925240463</t>
  </si>
  <si>
    <t>1300100106</t>
  </si>
  <si>
    <t>三维扫描仪Lynx升级款(英文4规版)</t>
  </si>
  <si>
    <t>三维扫描仪-JML1</t>
  </si>
  <si>
    <t>Lynx升级</t>
  </si>
  <si>
    <t>JML1</t>
  </si>
  <si>
    <t>6975925240531</t>
  </si>
  <si>
    <t>Lynx豪华</t>
  </si>
  <si>
    <t>6975925240135</t>
  </si>
  <si>
    <t>三维扫描仪Mole基础款(英文版)</t>
  </si>
  <si>
    <t>Mole基础</t>
  </si>
  <si>
    <t>6975925240142</t>
  </si>
  <si>
    <t>Mole升级</t>
  </si>
  <si>
    <t>6975925240159</t>
  </si>
  <si>
    <t>Mole豪华</t>
  </si>
  <si>
    <t>1300100089</t>
  </si>
  <si>
    <t>1300100229</t>
  </si>
  <si>
    <t>1300100230</t>
  </si>
  <si>
    <t>1300100231</t>
  </si>
  <si>
    <t>1300100232</t>
  </si>
  <si>
    <t>三维扫描仪Moose Lite豪华款(4规)</t>
  </si>
  <si>
    <t>6975925241170</t>
  </si>
  <si>
    <t>1300100208</t>
  </si>
  <si>
    <t>1300100240</t>
  </si>
  <si>
    <t>1300100246</t>
  </si>
  <si>
    <t>1300100249</t>
  </si>
  <si>
    <t>X0012I1EDL</t>
  </si>
  <si>
    <t>CR-SCAN-01</t>
  </si>
  <si>
    <t>Amazon JP</t>
  </si>
  <si>
    <t>三维扫描仪Lynx基础款(日文版)</t>
  </si>
  <si>
    <t>X00143ZS13</t>
  </si>
  <si>
    <t>Lynx-2</t>
  </si>
  <si>
    <t>三维扫描仪Lynx升级款(日文版)</t>
  </si>
  <si>
    <t>X00143S6WB</t>
  </si>
  <si>
    <t>Lynx-3</t>
  </si>
  <si>
    <t>三维扫描仪Lynx豪华款(日文版)</t>
  </si>
  <si>
    <t>X0012J6IVD</t>
  </si>
  <si>
    <t>magic-1-sp</t>
  </si>
  <si>
    <t>Plus升级</t>
  </si>
  <si>
    <t>X001BZ0QW5</t>
  </si>
  <si>
    <t>JL-UPOV-ZJHC</t>
  </si>
  <si>
    <t>X0014QSBDR</t>
  </si>
  <si>
    <t>mole6-6</t>
  </si>
  <si>
    <t>X001BYH4P3</t>
  </si>
  <si>
    <t>EN-UORB-8XNV</t>
  </si>
  <si>
    <t>X0019H1UUR</t>
  </si>
  <si>
    <t>HM-8XCZ-OT7J</t>
  </si>
  <si>
    <t>X0018196EB</t>
  </si>
  <si>
    <t>jp-mole-premium</t>
  </si>
  <si>
    <t>X001BYN2W7</t>
  </si>
  <si>
    <t>73-XE0V-6AUE</t>
  </si>
  <si>
    <t>X001BHHALD</t>
  </si>
  <si>
    <t>seal lite-Standard-jp-3</t>
  </si>
  <si>
    <t>X001AQ5F8F</t>
  </si>
  <si>
    <t>seal lite -p-jp</t>
  </si>
  <si>
    <t>三维扫描仪Seal Lite升级款(4规)</t>
  </si>
  <si>
    <t>Seal Lite升级</t>
  </si>
  <si>
    <t>X001BHHB35</t>
  </si>
  <si>
    <t>seal lite-Premium-jp-3</t>
  </si>
  <si>
    <t>X001BHIM79</t>
  </si>
  <si>
    <t>seal- Standard -jp-3</t>
  </si>
  <si>
    <t>X00161GNY9</t>
  </si>
  <si>
    <t>Seal-8-8</t>
  </si>
  <si>
    <t>三维扫描仪Seal升级款(4规)</t>
  </si>
  <si>
    <t>Seal升级</t>
  </si>
  <si>
    <t>X001BHJXO5</t>
  </si>
  <si>
    <t>seal-Premium-jp-3</t>
  </si>
  <si>
    <t>X001D9IQSF</t>
  </si>
  <si>
    <t>R4-KGC6-EP72</t>
  </si>
  <si>
    <t>三维扫描仪Seal豪华款(4规)</t>
  </si>
  <si>
    <t>Seal豪华</t>
  </si>
  <si>
    <t>X0017KIH11</t>
  </si>
  <si>
    <t>Moose Standard JP</t>
  </si>
  <si>
    <t>X001BHOFVV</t>
  </si>
  <si>
    <t>moose-jp-Premium-3</t>
  </si>
  <si>
    <t>X0017KIH0R</t>
  </si>
  <si>
    <t>Moose  Premium  JP</t>
  </si>
  <si>
    <t>X0017L3Y95</t>
  </si>
  <si>
    <t>JP Moose Lite Standard</t>
  </si>
  <si>
    <t>X0017L3Y8V</t>
  </si>
  <si>
    <t>JP Moose Lite Premium</t>
  </si>
  <si>
    <t>X001ALT1IZ</t>
  </si>
  <si>
    <t>X4-IYU8-GMNI</t>
  </si>
  <si>
    <t>X001CYMMIL</t>
  </si>
  <si>
    <t>X001CZTEHH</t>
  </si>
  <si>
    <t>X0016DQDLF</t>
  </si>
  <si>
    <t>K4-08OA-QRY4</t>
  </si>
  <si>
    <t>X0018F9KCP</t>
  </si>
  <si>
    <t>JP-Turntable -1</t>
  </si>
  <si>
    <t>X001BY46IV</t>
  </si>
  <si>
    <t>Seal三脚架套装</t>
  </si>
  <si>
    <t>X001BG7GYF</t>
  </si>
  <si>
    <t>CE-0OK0-ZR5L</t>
  </si>
  <si>
    <t>显影剂</t>
  </si>
  <si>
    <t>X001CA0467</t>
  </si>
  <si>
    <t>G6-7R3N-6CS3</t>
  </si>
  <si>
    <t>CZ Amazon JP</t>
  </si>
  <si>
    <t>X001C5V3RL</t>
  </si>
  <si>
    <t>BK-XJ7Q-867M</t>
  </si>
  <si>
    <t>X001BKZJVD</t>
  </si>
  <si>
    <t>VG-MYBX-9J6S</t>
  </si>
  <si>
    <t>JMS1</t>
  </si>
  <si>
    <t>X001BQPZUH</t>
  </si>
  <si>
    <t>JR-TD0X-QDIX</t>
  </si>
  <si>
    <t>X001BO4SXJ</t>
  </si>
  <si>
    <t>3F-KJDM-M3B2</t>
  </si>
  <si>
    <t>X001BR2L17</t>
  </si>
  <si>
    <t>HY-9SW8-WACP</t>
  </si>
  <si>
    <t>X001BQRJZL</t>
  </si>
  <si>
    <t>EY-BK17-IXLI</t>
  </si>
  <si>
    <t>X004WSFO0D</t>
  </si>
  <si>
    <t>US Mole Premium Version-used</t>
  </si>
  <si>
    <t>Amazon US</t>
  </si>
  <si>
    <t>X0042V1OEZ</t>
  </si>
  <si>
    <t>US Mole Premium Version</t>
  </si>
  <si>
    <t>X004VUEO0D</t>
  </si>
  <si>
    <t>US Mole Advanced Kit</t>
  </si>
  <si>
    <t>X004TOIG9L</t>
  </si>
  <si>
    <t>US Seal Lite Basic Edition</t>
  </si>
  <si>
    <t>X0050S6RYL</t>
  </si>
  <si>
    <t>US Seal Lite Basic Package</t>
  </si>
  <si>
    <t>X0050AXAIF</t>
  </si>
  <si>
    <t>US Seal Lite Advanced Version</t>
  </si>
  <si>
    <t>X004U8MGNN</t>
  </si>
  <si>
    <t>US Seal Basic Edition</t>
  </si>
  <si>
    <t>X0051INO5F</t>
  </si>
  <si>
    <t>US Seal Luxury Kit</t>
  </si>
  <si>
    <t>X004E3GOZZ</t>
  </si>
  <si>
    <t>US Moose Standard Kit</t>
  </si>
  <si>
    <t>X004W01IE7</t>
  </si>
  <si>
    <t>US Moose Basic Edition</t>
  </si>
  <si>
    <t>X0047I57EV</t>
  </si>
  <si>
    <t>US Moose Standard</t>
  </si>
  <si>
    <t>X0050AVFXH</t>
  </si>
  <si>
    <t>US Moose Standard Version New</t>
  </si>
  <si>
    <t>X004T6FCUZ</t>
  </si>
  <si>
    <t>US Moose Advanced</t>
  </si>
  <si>
    <t>X0051INF2H</t>
  </si>
  <si>
    <t>US Moose Advanced Kit-used</t>
  </si>
  <si>
    <t>X004VFV0M3</t>
  </si>
  <si>
    <t>US Moose Lite Basic Edition</t>
  </si>
  <si>
    <t>X004T6OTXL</t>
  </si>
  <si>
    <t>US Moose Lite Advanced</t>
  </si>
  <si>
    <t>X0047Q8XRB</t>
  </si>
  <si>
    <t>US Smart Grip</t>
  </si>
  <si>
    <t>X004W8IL2L</t>
  </si>
  <si>
    <t>智能手柄数据线</t>
  </si>
  <si>
    <t>X0047UDHF5</t>
  </si>
  <si>
    <t>US Turntable for Moose Series</t>
  </si>
  <si>
    <t>Seal/Seal lite转台套餐</t>
  </si>
  <si>
    <t>X0050AZ493</t>
  </si>
  <si>
    <t>US 3DMakerpro Moose Turntable</t>
  </si>
  <si>
    <t>X0040T12X7</t>
  </si>
  <si>
    <t>US Turntable for Mole</t>
  </si>
  <si>
    <t>Lizard/Mole转台套餐</t>
  </si>
  <si>
    <t>X0050AYV6F</t>
  </si>
  <si>
    <t>US 3DMakerpro Tripod</t>
  </si>
  <si>
    <t>X0053EIWZT</t>
  </si>
  <si>
    <t>X0050Q7ENL</t>
  </si>
  <si>
    <t>X0053KB8QD</t>
  </si>
  <si>
    <t>X003WFHUX1</t>
  </si>
  <si>
    <t>JMYD-Lynx-Premium</t>
  </si>
  <si>
    <t>CZ Amazon US</t>
  </si>
  <si>
    <t>三维扫描仪Lynx升级款(美规)</t>
  </si>
  <si>
    <t>X003WFVD11</t>
  </si>
  <si>
    <t>JMYD-Mole-Premium</t>
  </si>
  <si>
    <t>三维扫描仪Mole升级款(英文版)</t>
  </si>
  <si>
    <t>三维扫描仪-JMM1</t>
  </si>
  <si>
    <t>JMM1</t>
  </si>
  <si>
    <t>X003WFH757</t>
  </si>
  <si>
    <t>JMYD-Mole-Luxury</t>
  </si>
  <si>
    <t>三维扫描仪Mole豪华款(英文版)</t>
  </si>
  <si>
    <t>X004S1S8AR</t>
  </si>
  <si>
    <t>CZ-Moose Lite Standard</t>
  </si>
  <si>
    <t>三维扫描仪Moose Lite基础款(美规)</t>
  </si>
  <si>
    <t>X004VUH5JP</t>
  </si>
  <si>
    <t>USCZ Moose Lite Standard</t>
  </si>
  <si>
    <t>X004S1L8XV</t>
  </si>
  <si>
    <t>CZ-Moose Lite Premium</t>
  </si>
  <si>
    <t>X004S1S8KR</t>
  </si>
  <si>
    <t>CZ-Moose Lite Luxury</t>
  </si>
  <si>
    <t>X004S162YL</t>
  </si>
  <si>
    <t>CZ-Moose Standard</t>
  </si>
  <si>
    <t>X004S0IAOR</t>
  </si>
  <si>
    <t>CZ-Moose Premium</t>
  </si>
  <si>
    <t>X004S1JEX7</t>
  </si>
  <si>
    <t>CZ-Moose Luxury</t>
  </si>
  <si>
    <t>三维扫描仪Moose豪华款(美欧)</t>
  </si>
  <si>
    <t>X004RYAIHL</t>
  </si>
  <si>
    <t>CZ-Seal</t>
  </si>
  <si>
    <t>三维扫描仪Seal 基础款(美规)</t>
  </si>
  <si>
    <t>JMS2</t>
  </si>
  <si>
    <t>X004YCIX4V</t>
  </si>
  <si>
    <t>CZ-Seal Premuim</t>
  </si>
  <si>
    <t>X004RXVRT5</t>
  </si>
  <si>
    <t>CZ-Seal Lite</t>
  </si>
  <si>
    <t>X004YCFSQ7</t>
  </si>
  <si>
    <t>CZ-Seal Lite Premuim</t>
  </si>
  <si>
    <t>X004RY9ERL</t>
  </si>
  <si>
    <t>CZ-Turntable</t>
  </si>
  <si>
    <t>X004RX1BKP</t>
  </si>
  <si>
    <t>CZ-Tripod</t>
  </si>
  <si>
    <t>X004RY9WA5</t>
  </si>
  <si>
    <t>CZ-Smart Grip</t>
  </si>
  <si>
    <t>X004W9SZ5X</t>
  </si>
  <si>
    <t>Smart Grip Cable</t>
  </si>
  <si>
    <t>X004TENLMN</t>
  </si>
  <si>
    <t>CZ-Spray</t>
  </si>
  <si>
    <t>X004S1BV2T</t>
  </si>
  <si>
    <t>CZ-Eagle Max</t>
  </si>
  <si>
    <t>三维扫描仪Eagle JMK1</t>
  </si>
  <si>
    <t>三维扫描仪-JMK1</t>
  </si>
  <si>
    <t>JMK1</t>
  </si>
  <si>
    <t>X004S1BWNH</t>
  </si>
  <si>
    <t>CZ-Eagle Standard</t>
  </si>
  <si>
    <t>三维扫描仪Eagle JMK2</t>
  </si>
  <si>
    <t>三维扫描仪-JMK2</t>
  </si>
  <si>
    <t>JMK2</t>
  </si>
  <si>
    <t>X004XR6DRV</t>
  </si>
  <si>
    <t>CZ-Toucan Standard</t>
  </si>
  <si>
    <t>X004XQZNC3</t>
  </si>
  <si>
    <t>CZ-Toucan Premium</t>
  </si>
  <si>
    <t>X0052QVBZ1</t>
  </si>
  <si>
    <t>X0052QSJR9</t>
  </si>
  <si>
    <t>X0053M1YF1</t>
  </si>
  <si>
    <t>X0050OP3YP</t>
  </si>
  <si>
    <t>标记点</t>
  </si>
  <si>
    <t>X001RNIJLT</t>
  </si>
  <si>
    <t>mole-p</t>
  </si>
  <si>
    <t>Amazon DE</t>
  </si>
  <si>
    <t>X001T448BV</t>
  </si>
  <si>
    <t>lynx-s</t>
  </si>
  <si>
    <t>三维扫描仪Lynx基础款(欧规)</t>
  </si>
  <si>
    <t>X001S2TSTL</t>
  </si>
  <si>
    <t>lynx-p</t>
  </si>
  <si>
    <t>X001VV5NJN</t>
  </si>
  <si>
    <t>seal-l</t>
  </si>
  <si>
    <t>X001VVA0WD</t>
  </si>
  <si>
    <t>seal-p</t>
  </si>
  <si>
    <t>X0024DYTQZ</t>
  </si>
  <si>
    <t>seallite-p</t>
  </si>
  <si>
    <t>X0024E4JHX</t>
  </si>
  <si>
    <t>EU Seal Lite Standard</t>
  </si>
  <si>
    <t>X0020EEIEV</t>
  </si>
  <si>
    <t>EU Moose Lite Standard</t>
  </si>
  <si>
    <t>X0020EENQT</t>
  </si>
  <si>
    <t>EU Moose Lite Premium</t>
  </si>
  <si>
    <t>X0020EE1SJ</t>
  </si>
  <si>
    <t>EU Moose Standard</t>
  </si>
  <si>
    <t>X0026KO6F5</t>
  </si>
  <si>
    <t>EU Moose Premium</t>
  </si>
  <si>
    <t>X0025X13BN</t>
  </si>
  <si>
    <t xml:space="preserve">t-01 </t>
  </si>
  <si>
    <t>X001VV9M5J</t>
  </si>
  <si>
    <t>三维扫描仪智能手柄</t>
  </si>
  <si>
    <t>X002LTQWSP</t>
  </si>
  <si>
    <t>X001T2CPTP</t>
  </si>
  <si>
    <t>Amazon UK</t>
  </si>
  <si>
    <t>X0029HGEP5</t>
  </si>
  <si>
    <t>amzn.gr.lynx-s-qBgCvBfYrLU1RY3PkZePWZ-VG</t>
  </si>
  <si>
    <t>X002801V29</t>
  </si>
  <si>
    <t>amzn.gr.lynx-s-JPPp8AQ3h4cDvRArGmx0td-LN</t>
  </si>
  <si>
    <t>X002JSUKMR</t>
  </si>
  <si>
    <t>amzn.gr.seal-l-9kUWtelvYYG5PFEQuhkmMS-AC</t>
  </si>
  <si>
    <t>X0028SKI8T</t>
  </si>
  <si>
    <t>amzn.gr.seal-p-xIOwvQJJ10SMiOTQ1Q6IlQ-LN</t>
  </si>
  <si>
    <t>X001VVA6EF</t>
  </si>
  <si>
    <t>X0025OIA3V</t>
  </si>
  <si>
    <t>X0029ZEGE3</t>
  </si>
  <si>
    <t>amzn.gr.UK_Seal_Lite_Standard-R6lMkWF-LN</t>
  </si>
  <si>
    <t>X0025RKPT5</t>
  </si>
  <si>
    <t>X0024H4S9T</t>
  </si>
  <si>
    <t>UK Seal Lite Premium</t>
  </si>
  <si>
    <t>X0020GS5M5</t>
  </si>
  <si>
    <t>UK Moose Standard</t>
  </si>
  <si>
    <t>X0020GS5LL</t>
  </si>
  <si>
    <t>UK Moose Premium</t>
  </si>
  <si>
    <t>X0020GS5LB</t>
  </si>
  <si>
    <t>UK Moose Lite Standard</t>
  </si>
  <si>
    <t>X002GXFKRZ</t>
  </si>
  <si>
    <t>amzn.gr.UK_Moose_Lite_Standard-QrjW0c-LN</t>
  </si>
  <si>
    <t>X00286HS9X</t>
  </si>
  <si>
    <t>amzn.gr.UK_Moose_Lite_Standard-rkTzSS-LN</t>
  </si>
  <si>
    <t>X0020GS5LV</t>
  </si>
  <si>
    <t>UK Moose Lite Premium</t>
  </si>
  <si>
    <t>X002HPC2AP</t>
  </si>
  <si>
    <t>amzn.gr.UK_Moose_Lite_Premium-Yoro5P2-LN</t>
  </si>
  <si>
    <t>X002H51IEL</t>
  </si>
  <si>
    <t>amzn.gr.UK_Moose_Lite_Premium-fDCQNPk-VG</t>
  </si>
  <si>
    <t>t-01</t>
  </si>
  <si>
    <t>sgrip</t>
  </si>
  <si>
    <t>X001CDK2T3</t>
  </si>
  <si>
    <t>CZ Amazon AU</t>
  </si>
  <si>
    <t>X001CDJD11</t>
  </si>
  <si>
    <t>X001CDJDW5</t>
  </si>
  <si>
    <t>X001CDGWOR</t>
  </si>
  <si>
    <t>X001CDOZXR</t>
  </si>
  <si>
    <t>X001CAA9BH</t>
  </si>
  <si>
    <t>X001C9Y8UB</t>
  </si>
  <si>
    <t>X001DD4B5D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</si>
</sst>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7">
    <font>
      <sz val="11"/>
      <color theme="1"/>
      <name val="宋体"/>
      <charset val="134"/>
      <scheme val="minor"/>
    </font>
    <font>
      <sz val="11"/>
      <color rgb="FFFF0000"/>
      <name val="宋体"/>
      <charset val="134"/>
      <scheme val="minor"/>
    </font>
    <font>
      <sz val="1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9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0"/>
      <color theme="1"/>
      <name val="宋体"/>
      <charset val="134"/>
      <scheme val="minor"/>
    </font>
    <font>
      <b/>
      <sz val="9"/>
      <color theme="1"/>
      <name val="宋体"/>
      <charset val="134"/>
      <scheme val="minor"/>
    </font>
    <font>
      <sz val="10"/>
      <name val="宋体"/>
      <charset val="134"/>
      <scheme val="minor"/>
    </font>
    <font>
      <b/>
      <sz val="12"/>
      <name val="宋体"/>
      <charset val="134"/>
      <scheme val="minor"/>
    </font>
    <font>
      <b/>
      <sz val="10"/>
      <name val="宋体"/>
      <charset val="134"/>
      <scheme val="minor"/>
    </font>
    <font>
      <sz val="9"/>
      <name val="宋体"/>
      <charset val="134"/>
      <scheme val="minor"/>
    </font>
    <font>
      <b/>
      <sz val="10"/>
      <color theme="1"/>
      <name val="宋体"/>
      <charset val="134"/>
      <scheme val="minor"/>
    </font>
    <font>
      <b/>
      <sz val="10"/>
      <color rgb="FFFF0000"/>
      <name val="宋体"/>
      <charset val="134"/>
      <scheme val="minor"/>
    </font>
    <font>
      <b/>
      <sz val="10"/>
      <name val="Times New Roman"/>
      <charset val="134"/>
    </font>
    <font>
      <sz val="10"/>
      <name val="Times New Roman"/>
      <charset val="134"/>
    </font>
    <font>
      <sz val="10"/>
      <name val="微软雅黑"/>
      <charset val="134"/>
    </font>
    <font>
      <sz val="9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40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theme="0" tint="-0.15"/>
        <bgColor indexed="64"/>
      </patternFill>
    </fill>
    <fill>
      <patternFill patternType="solid">
        <fgColor rgb="FFF7FD9D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6" tint="0.4"/>
        <bgColor indexed="64"/>
      </patternFill>
    </fill>
    <fill>
      <patternFill patternType="solid">
        <fgColor theme="8" tint="0.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0" fillId="9" borderId="3" applyNumberFormat="0" applyFont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0" borderId="4" applyNumberFormat="0" applyFill="0" applyAlignment="0" applyProtection="0">
      <alignment vertical="center"/>
    </xf>
    <xf numFmtId="0" fontId="24" fillId="0" borderId="4" applyNumberFormat="0" applyFill="0" applyAlignment="0" applyProtection="0">
      <alignment vertical="center"/>
    </xf>
    <xf numFmtId="0" fontId="25" fillId="0" borderId="5" applyNumberFormat="0" applyFill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6" fillId="10" borderId="6" applyNumberFormat="0" applyAlignment="0" applyProtection="0">
      <alignment vertical="center"/>
    </xf>
    <xf numFmtId="0" fontId="27" fillId="11" borderId="7" applyNumberFormat="0" applyAlignment="0" applyProtection="0">
      <alignment vertical="center"/>
    </xf>
    <xf numFmtId="0" fontId="28" fillId="11" borderId="6" applyNumberFormat="0" applyAlignment="0" applyProtection="0">
      <alignment vertical="center"/>
    </xf>
    <xf numFmtId="0" fontId="29" fillId="12" borderId="8" applyNumberFormat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1" fillId="0" borderId="10" applyNumberFormat="0" applyFill="0" applyAlignment="0" applyProtection="0">
      <alignment vertical="center"/>
    </xf>
    <xf numFmtId="0" fontId="32" fillId="13" borderId="0" applyNumberFormat="0" applyBorder="0" applyAlignment="0" applyProtection="0">
      <alignment vertical="center"/>
    </xf>
    <xf numFmtId="0" fontId="33" fillId="14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5" fillId="16" borderId="0" applyNumberFormat="0" applyBorder="0" applyAlignment="0" applyProtection="0">
      <alignment vertical="center"/>
    </xf>
    <xf numFmtId="0" fontId="36" fillId="17" borderId="0" applyNumberFormat="0" applyBorder="0" applyAlignment="0" applyProtection="0">
      <alignment vertical="center"/>
    </xf>
    <xf numFmtId="0" fontId="36" fillId="18" borderId="0" applyNumberFormat="0" applyBorder="0" applyAlignment="0" applyProtection="0">
      <alignment vertical="center"/>
    </xf>
    <xf numFmtId="0" fontId="35" fillId="19" borderId="0" applyNumberFormat="0" applyBorder="0" applyAlignment="0" applyProtection="0">
      <alignment vertical="center"/>
    </xf>
    <xf numFmtId="0" fontId="35" fillId="20" borderId="0" applyNumberFormat="0" applyBorder="0" applyAlignment="0" applyProtection="0">
      <alignment vertical="center"/>
    </xf>
    <xf numFmtId="0" fontId="36" fillId="21" borderId="0" applyNumberFormat="0" applyBorder="0" applyAlignment="0" applyProtection="0">
      <alignment vertical="center"/>
    </xf>
    <xf numFmtId="0" fontId="36" fillId="22" borderId="0" applyNumberFormat="0" applyBorder="0" applyAlignment="0" applyProtection="0">
      <alignment vertical="center"/>
    </xf>
    <xf numFmtId="0" fontId="35" fillId="23" borderId="0" applyNumberFormat="0" applyBorder="0" applyAlignment="0" applyProtection="0">
      <alignment vertical="center"/>
    </xf>
    <xf numFmtId="0" fontId="35" fillId="24" borderId="0" applyNumberFormat="0" applyBorder="0" applyAlignment="0" applyProtection="0">
      <alignment vertical="center"/>
    </xf>
    <xf numFmtId="0" fontId="36" fillId="25" borderId="0" applyNumberFormat="0" applyBorder="0" applyAlignment="0" applyProtection="0">
      <alignment vertical="center"/>
    </xf>
    <xf numFmtId="0" fontId="36" fillId="26" borderId="0" applyNumberFormat="0" applyBorder="0" applyAlignment="0" applyProtection="0">
      <alignment vertical="center"/>
    </xf>
    <xf numFmtId="0" fontId="35" fillId="27" borderId="0" applyNumberFormat="0" applyBorder="0" applyAlignment="0" applyProtection="0">
      <alignment vertical="center"/>
    </xf>
    <xf numFmtId="0" fontId="35" fillId="28" borderId="0" applyNumberFormat="0" applyBorder="0" applyAlignment="0" applyProtection="0">
      <alignment vertical="center"/>
    </xf>
    <xf numFmtId="0" fontId="36" fillId="29" borderId="0" applyNumberFormat="0" applyBorder="0" applyAlignment="0" applyProtection="0">
      <alignment vertical="center"/>
    </xf>
    <xf numFmtId="0" fontId="36" fillId="30" borderId="0" applyNumberFormat="0" applyBorder="0" applyAlignment="0" applyProtection="0">
      <alignment vertical="center"/>
    </xf>
    <xf numFmtId="0" fontId="35" fillId="31" borderId="0" applyNumberFormat="0" applyBorder="0" applyAlignment="0" applyProtection="0">
      <alignment vertical="center"/>
    </xf>
    <xf numFmtId="0" fontId="35" fillId="32" borderId="0" applyNumberFormat="0" applyBorder="0" applyAlignment="0" applyProtection="0">
      <alignment vertical="center"/>
    </xf>
    <xf numFmtId="0" fontId="36" fillId="33" borderId="0" applyNumberFormat="0" applyBorder="0" applyAlignment="0" applyProtection="0">
      <alignment vertical="center"/>
    </xf>
    <xf numFmtId="0" fontId="36" fillId="34" borderId="0" applyNumberFormat="0" applyBorder="0" applyAlignment="0" applyProtection="0">
      <alignment vertical="center"/>
    </xf>
    <xf numFmtId="0" fontId="35" fillId="35" borderId="0" applyNumberFormat="0" applyBorder="0" applyAlignment="0" applyProtection="0">
      <alignment vertical="center"/>
    </xf>
    <xf numFmtId="0" fontId="35" fillId="36" borderId="0" applyNumberFormat="0" applyBorder="0" applyAlignment="0" applyProtection="0">
      <alignment vertical="center"/>
    </xf>
    <xf numFmtId="0" fontId="36" fillId="37" borderId="0" applyNumberFormat="0" applyBorder="0" applyAlignment="0" applyProtection="0">
      <alignment vertical="center"/>
    </xf>
    <xf numFmtId="0" fontId="36" fillId="38" borderId="0" applyNumberFormat="0" applyBorder="0" applyAlignment="0" applyProtection="0">
      <alignment vertical="center"/>
    </xf>
    <xf numFmtId="0" fontId="35" fillId="39" borderId="0" applyNumberFormat="0" applyBorder="0" applyAlignment="0" applyProtection="0">
      <alignment vertical="center"/>
    </xf>
    <xf numFmtId="0" fontId="0" fillId="0" borderId="0">
      <alignment vertical="center"/>
    </xf>
  </cellStyleXfs>
  <cellXfs count="84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0" xfId="0" applyFont="1">
      <alignment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 wrapText="1"/>
    </xf>
    <xf numFmtId="0" fontId="4" fillId="0" borderId="0" xfId="0" applyFont="1" applyAlignment="1">
      <alignment horizontal="left" vertical="center" wrapText="1"/>
    </xf>
    <xf numFmtId="0" fontId="2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6" fillId="0" borderId="0" xfId="0" applyFont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5" fillId="2" borderId="2" xfId="0" applyFont="1" applyFill="1" applyBorder="1" applyAlignment="1">
      <alignment horizontal="center" vertical="center" wrapText="1"/>
    </xf>
    <xf numFmtId="0" fontId="6" fillId="3" borderId="1" xfId="0" applyFont="1" applyFill="1" applyBorder="1" applyAlignment="1">
      <alignment horizontal="center"/>
    </xf>
    <xf numFmtId="0" fontId="4" fillId="3" borderId="1" xfId="0" applyFont="1" applyFill="1" applyBorder="1" applyAlignment="1">
      <alignment horizontal="center" vertical="center" wrapText="1"/>
    </xf>
    <xf numFmtId="0" fontId="6" fillId="3" borderId="1" xfId="0" applyFont="1" applyFill="1" applyBorder="1" applyAlignment="1">
      <alignment horizontal="center" vertical="center"/>
    </xf>
    <xf numFmtId="0" fontId="6" fillId="3" borderId="1" xfId="0" applyNumberFormat="1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left" vertical="center" wrapText="1"/>
    </xf>
    <xf numFmtId="0" fontId="4" fillId="3" borderId="1" xfId="0" applyFont="1" applyFill="1" applyBorder="1" applyAlignment="1">
      <alignment horizontal="left" vertical="center" wrapText="1"/>
    </xf>
    <xf numFmtId="0" fontId="8" fillId="0" borderId="1" xfId="0" applyFont="1" applyFill="1" applyBorder="1" applyAlignment="1">
      <alignment horizontal="center" vertical="center"/>
    </xf>
    <xf numFmtId="0" fontId="9" fillId="0" borderId="1" xfId="0" applyFont="1" applyFill="1" applyBorder="1" applyAlignment="1">
      <alignment horizontal="center" vertical="center"/>
    </xf>
    <xf numFmtId="0" fontId="10" fillId="0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left" vertical="center"/>
    </xf>
    <xf numFmtId="0" fontId="4" fillId="3" borderId="1" xfId="0" applyNumberFormat="1" applyFont="1" applyFill="1" applyBorder="1" applyAlignment="1">
      <alignment horizontal="center" vertical="center" wrapText="1"/>
    </xf>
    <xf numFmtId="0" fontId="8" fillId="4" borderId="1" xfId="0" applyFont="1" applyFill="1" applyBorder="1" applyAlignment="1">
      <alignment horizontal="center"/>
    </xf>
    <xf numFmtId="0" fontId="4" fillId="4" borderId="1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/>
    </xf>
    <xf numFmtId="0" fontId="6" fillId="4" borderId="1" xfId="0" applyFont="1" applyFill="1" applyBorder="1" applyAlignment="1">
      <alignment horizontal="left" vertical="center" wrapText="1"/>
    </xf>
    <xf numFmtId="0" fontId="4" fillId="4" borderId="1" xfId="0" applyFont="1" applyFill="1" applyBorder="1" applyAlignment="1">
      <alignment horizontal="left" vertical="center" wrapText="1"/>
    </xf>
    <xf numFmtId="0" fontId="11" fillId="4" borderId="1" xfId="0" applyFont="1" applyFill="1" applyBorder="1" applyAlignment="1">
      <alignment horizontal="center" vertical="center" wrapText="1"/>
    </xf>
    <xf numFmtId="0" fontId="8" fillId="4" borderId="1" xfId="0" applyFont="1" applyFill="1" applyBorder="1" applyAlignment="1">
      <alignment horizontal="center" vertical="center"/>
    </xf>
    <xf numFmtId="0" fontId="4" fillId="4" borderId="1" xfId="0" applyNumberFormat="1" applyFont="1" applyFill="1" applyBorder="1" applyAlignment="1">
      <alignment horizontal="center" vertical="center" wrapText="1"/>
    </xf>
    <xf numFmtId="0" fontId="6" fillId="4" borderId="1" xfId="0" applyNumberFormat="1" applyFont="1" applyFill="1" applyBorder="1" applyAlignment="1">
      <alignment horizontal="center" vertical="center"/>
    </xf>
    <xf numFmtId="0" fontId="8" fillId="4" borderId="1" xfId="0" applyNumberFormat="1" applyFont="1" applyFill="1" applyBorder="1" applyAlignment="1">
      <alignment horizontal="center" vertical="center"/>
    </xf>
    <xf numFmtId="0" fontId="11" fillId="4" borderId="1" xfId="0" applyFont="1" applyFill="1" applyBorder="1" applyAlignment="1">
      <alignment horizontal="center"/>
    </xf>
    <xf numFmtId="0" fontId="12" fillId="5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 wrapText="1"/>
    </xf>
    <xf numFmtId="0" fontId="6" fillId="5" borderId="1" xfId="0" applyFont="1" applyFill="1" applyBorder="1" applyAlignment="1">
      <alignment horizontal="center" vertical="center"/>
    </xf>
    <xf numFmtId="0" fontId="6" fillId="5" borderId="1" xfId="0" applyFont="1" applyFill="1" applyBorder="1" applyAlignment="1">
      <alignment horizontal="left" vertical="center" wrapText="1"/>
    </xf>
    <xf numFmtId="0" fontId="4" fillId="5" borderId="1" xfId="0" applyFont="1" applyFill="1" applyBorder="1" applyAlignment="1">
      <alignment horizontal="left" vertical="center" wrapText="1"/>
    </xf>
    <xf numFmtId="0" fontId="4" fillId="5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left" vertical="center"/>
    </xf>
    <xf numFmtId="0" fontId="0" fillId="5" borderId="0" xfId="0" applyFill="1" applyAlignment="1">
      <alignment vertical="center"/>
    </xf>
    <xf numFmtId="0" fontId="13" fillId="0" borderId="1" xfId="0" applyFont="1" applyFill="1" applyBorder="1" applyAlignment="1">
      <alignment horizontal="center" vertical="center"/>
    </xf>
    <xf numFmtId="0" fontId="12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left" vertical="center" wrapText="1"/>
    </xf>
    <xf numFmtId="0" fontId="4" fillId="2" borderId="1" xfId="0" applyFont="1" applyFill="1" applyBorder="1" applyAlignment="1">
      <alignment horizontal="left" vertical="center"/>
    </xf>
    <xf numFmtId="0" fontId="4" fillId="2" borderId="1" xfId="0" applyFont="1" applyFill="1" applyBorder="1" applyAlignment="1">
      <alignment horizontal="center" vertical="center"/>
    </xf>
    <xf numFmtId="0" fontId="14" fillId="6" borderId="1" xfId="49" applyFont="1" applyFill="1" applyBorder="1" applyAlignment="1">
      <alignment horizontal="center" vertical="center"/>
    </xf>
    <xf numFmtId="0" fontId="4" fillId="6" borderId="1" xfId="0" applyFont="1" applyFill="1" applyBorder="1" applyAlignment="1">
      <alignment horizontal="center" vertical="center" wrapText="1"/>
    </xf>
    <xf numFmtId="0" fontId="6" fillId="6" borderId="1" xfId="0" applyFont="1" applyFill="1" applyBorder="1" applyAlignment="1">
      <alignment horizontal="center" vertical="center"/>
    </xf>
    <xf numFmtId="0" fontId="15" fillId="6" borderId="1" xfId="49" applyFont="1" applyFill="1" applyBorder="1" applyAlignment="1">
      <alignment horizontal="center" vertical="center"/>
    </xf>
    <xf numFmtId="0" fontId="16" fillId="6" borderId="1" xfId="49" applyFont="1" applyFill="1" applyBorder="1" applyAlignment="1">
      <alignment horizontal="left" vertical="center" wrapText="1"/>
    </xf>
    <xf numFmtId="0" fontId="17" fillId="6" borderId="1" xfId="49" applyFont="1" applyFill="1" applyBorder="1" applyAlignment="1">
      <alignment horizontal="left" vertical="center" wrapText="1"/>
    </xf>
    <xf numFmtId="0" fontId="17" fillId="6" borderId="1" xfId="49" applyFont="1" applyFill="1" applyBorder="1" applyAlignment="1">
      <alignment horizontal="center" vertical="center" wrapText="1"/>
    </xf>
    <xf numFmtId="0" fontId="10" fillId="6" borderId="1" xfId="0" applyFont="1" applyFill="1" applyBorder="1" applyAlignment="1">
      <alignment horizontal="center" vertical="center"/>
    </xf>
    <xf numFmtId="0" fontId="11" fillId="6" borderId="1" xfId="0" applyFont="1" applyFill="1" applyBorder="1" applyAlignment="1">
      <alignment horizontal="center" vertical="center" wrapText="1"/>
    </xf>
    <xf numFmtId="0" fontId="8" fillId="6" borderId="1" xfId="0" applyFont="1" applyFill="1" applyBorder="1" applyAlignment="1">
      <alignment horizontal="center" vertical="center"/>
    </xf>
    <xf numFmtId="0" fontId="12" fillId="6" borderId="1" xfId="0" applyFont="1" applyFill="1" applyBorder="1" applyAlignment="1">
      <alignment horizontal="center" vertical="center"/>
    </xf>
    <xf numFmtId="0" fontId="6" fillId="6" borderId="1" xfId="0" applyFont="1" applyFill="1" applyBorder="1" applyAlignment="1">
      <alignment horizontal="center" vertical="center" wrapText="1"/>
    </xf>
    <xf numFmtId="0" fontId="6" fillId="6" borderId="1" xfId="0" applyFont="1" applyFill="1" applyBorder="1" applyAlignment="1">
      <alignment horizontal="left" vertical="center" wrapText="1"/>
    </xf>
    <xf numFmtId="0" fontId="12" fillId="7" borderId="1" xfId="0" applyFont="1" applyFill="1" applyBorder="1" applyAlignment="1">
      <alignment horizontal="center"/>
    </xf>
    <xf numFmtId="0" fontId="4" fillId="7" borderId="1" xfId="0" applyFont="1" applyFill="1" applyBorder="1" applyAlignment="1">
      <alignment horizontal="center" vertical="center" wrapText="1"/>
    </xf>
    <xf numFmtId="0" fontId="6" fillId="7" borderId="1" xfId="0" applyFont="1" applyFill="1" applyBorder="1" applyAlignment="1">
      <alignment horizontal="center" vertical="center"/>
    </xf>
    <xf numFmtId="0" fontId="6" fillId="7" borderId="1" xfId="0" applyNumberFormat="1" applyFont="1" applyFill="1" applyBorder="1" applyAlignment="1">
      <alignment horizontal="center" vertical="center"/>
    </xf>
    <xf numFmtId="0" fontId="6" fillId="7" borderId="1" xfId="0" applyFont="1" applyFill="1" applyBorder="1" applyAlignment="1">
      <alignment horizontal="left" vertical="center" wrapText="1"/>
    </xf>
    <xf numFmtId="0" fontId="4" fillId="7" borderId="1" xfId="0" applyFont="1" applyFill="1" applyBorder="1" applyAlignment="1">
      <alignment horizontal="left" vertical="center" wrapText="1"/>
    </xf>
    <xf numFmtId="0" fontId="10" fillId="5" borderId="1" xfId="0" applyFont="1" applyFill="1" applyBorder="1" applyAlignment="1">
      <alignment horizontal="center" vertical="center"/>
    </xf>
    <xf numFmtId="0" fontId="10" fillId="8" borderId="1" xfId="0" applyFont="1" applyFill="1" applyBorder="1" applyAlignment="1">
      <alignment horizontal="center" vertical="center"/>
    </xf>
    <xf numFmtId="0" fontId="4" fillId="8" borderId="1" xfId="0" applyFont="1" applyFill="1" applyBorder="1" applyAlignment="1">
      <alignment horizontal="center" vertical="center" wrapText="1"/>
    </xf>
    <xf numFmtId="0" fontId="6" fillId="8" borderId="1" xfId="0" applyFont="1" applyFill="1" applyBorder="1" applyAlignment="1">
      <alignment horizontal="center" vertical="center"/>
    </xf>
    <xf numFmtId="0" fontId="6" fillId="8" borderId="1" xfId="0" applyFont="1" applyFill="1" applyBorder="1" applyAlignment="1">
      <alignment horizontal="left" vertical="center" wrapText="1"/>
    </xf>
    <xf numFmtId="0" fontId="4" fillId="8" borderId="1" xfId="0" applyFont="1" applyFill="1" applyBorder="1" applyAlignment="1">
      <alignment horizontal="left" vertical="center" wrapText="1"/>
    </xf>
    <xf numFmtId="0" fontId="11" fillId="8" borderId="1" xfId="0" applyFont="1" applyFill="1" applyBorder="1" applyAlignment="1">
      <alignment horizontal="center" vertical="center" wrapText="1"/>
    </xf>
    <xf numFmtId="0" fontId="8" fillId="8" borderId="1" xfId="0" applyFont="1" applyFill="1" applyBorder="1" applyAlignment="1">
      <alignment horizontal="center" vertical="center"/>
    </xf>
    <xf numFmtId="0" fontId="8" fillId="8" borderId="1" xfId="0" applyFont="1" applyFill="1" applyBorder="1" applyAlignment="1">
      <alignment horizontal="left" vertical="center" wrapText="1"/>
    </xf>
    <xf numFmtId="0" fontId="11" fillId="8" borderId="1" xfId="0" applyFont="1" applyFill="1" applyBorder="1" applyAlignment="1">
      <alignment horizontal="left" vertical="center" wrapText="1"/>
    </xf>
    <xf numFmtId="0" fontId="4" fillId="6" borderId="1" xfId="0" applyFont="1" applyFill="1" applyBorder="1" applyAlignment="1">
      <alignment horizontal="left" vertical="center" wrapText="1"/>
    </xf>
    <xf numFmtId="0" fontId="6" fillId="3" borderId="1" xfId="0" applyFont="1" applyFill="1" applyBorder="1" applyAlignment="1" quotePrefix="1">
      <alignment horizontal="center"/>
    </xf>
    <xf numFmtId="0" fontId="8" fillId="4" borderId="1" xfId="0" applyFont="1" applyFill="1" applyBorder="1" applyAlignment="1" quotePrefix="1">
      <alignment horizont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6 2" xfId="49"/>
  </cellStyles>
  <dxfs count="21">
    <dxf>
      <fill>
        <patternFill patternType="solid">
          <bgColor rgb="FFFF99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0"/>
      <tableStyleElement type="headerRow" dxfId="9"/>
      <tableStyleElement type="totalRow" dxfId="8"/>
      <tableStyleElement type="firstColumn" dxfId="7"/>
      <tableStyleElement type="lastColumn" dxfId="6"/>
      <tableStyleElement type="firstRowStripe" dxfId="5"/>
      <tableStyleElement type="firstColumnStripe" dxfId="4"/>
    </tableStyle>
    <tableStyle name="PivotStylePreset2_Accent1" table="0" count="10" xr9:uid="{267968C8-6FFD-4C36-ACC1-9EA1FD1885CA}">
      <tableStyleElement type="headerRow" dxfId="20"/>
      <tableStyleElement type="totalRow" dxfId="19"/>
      <tableStyleElement type="firstRowStripe" dxfId="18"/>
      <tableStyleElement type="firstColumnStripe" dxfId="17"/>
      <tableStyleElement type="firstSubtotalRow" dxfId="16"/>
      <tableStyleElement type="secondSubtotalRow" dxfId="15"/>
      <tableStyleElement type="firstRowSubheading" dxfId="14"/>
      <tableStyleElement type="secondRowSubheading" dxfId="13"/>
      <tableStyleElement type="pageFieldLabels" dxfId="12"/>
      <tableStyleElement type="pageFieldValues" dxfId="11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/Relationships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file:///C:\Users\joylo\Desktop\order_add_standard &#35746;&#21333;&#26032;&#22686;_&#26631;&#20934;(&#35895;&#20179;)&#35895;&#20179;&#32654;&#35199;C2023060201 (1)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\JM\&#35746;&#21333;&#21457;&#36135;&#35760;&#24405;\&#29289;&#27969;&#21457;&#36135;&#26126;&#32454;2024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普通订单"/>
      <sheetName val="规则说明"/>
      <sheetName val="仓库代码"/>
      <sheetName val="销售平台"/>
      <sheetName val="国家简码详情"/>
      <sheetName val="美国州省信息"/>
      <sheetName val="澳洲州省信息"/>
      <sheetName val="物流产品详情"/>
      <sheetName val="物流到货时间段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物流发货明细表"/>
      <sheetName val="海外库存总表"/>
      <sheetName val="海外货品库存"/>
      <sheetName val="海外货品库存1"/>
      <sheetName val="SKU"/>
      <sheetName val="发货数据统计表 (2)"/>
      <sheetName val="物流费用汇总"/>
      <sheetName val="物流供应商成本"/>
      <sheetName val="国家代码"/>
      <sheetName val="美国州省"/>
      <sheetName val="库存AMZ"/>
      <sheetName val="库存AMZUK"/>
      <sheetName val="谷仓US"/>
      <sheetName val="谷仓US库龄"/>
      <sheetName val="谷仓DE"/>
      <sheetName val="谷仓DE库龄"/>
      <sheetName val="产品物流信息新"/>
      <sheetName val="货品规格0627"/>
      <sheetName val="Sheet1"/>
    </sheetNames>
    <sheetDataSet>
      <sheetData sheetId="0"/>
      <sheetData sheetId="1"/>
      <sheetData sheetId="2"/>
      <sheetData sheetId="3"/>
      <sheetData sheetId="4">
        <row r="1">
          <cell r="A1" t="str">
            <v>货品编号</v>
          </cell>
          <cell r="B1" t="str">
            <v>货品名称</v>
          </cell>
          <cell r="C1" t="str">
            <v>英文名称</v>
          </cell>
          <cell r="D1" t="str">
            <v>基础单位</v>
          </cell>
          <cell r="E1" t="str">
            <v>主条码</v>
          </cell>
          <cell r="F1" t="str">
            <v>别名</v>
          </cell>
          <cell r="G1" t="str">
            <v>品牌</v>
          </cell>
          <cell r="H1" t="str">
            <v>分类</v>
          </cell>
          <cell r="I1" t="str">
            <v>批次管理</v>
          </cell>
          <cell r="J1" t="str">
            <v>唯一码管理</v>
          </cell>
          <cell r="K1" t="str">
            <v>货主</v>
          </cell>
          <cell r="L1" t="str">
            <v>货品标记</v>
          </cell>
          <cell r="M1" t="str">
            <v>建档时间</v>
          </cell>
          <cell r="N1" t="str">
            <v>最后修改时间</v>
          </cell>
          <cell r="O1" t="str">
            <v>创建人</v>
          </cell>
          <cell r="P1" t="str">
            <v>修改人</v>
          </cell>
          <cell r="Q1" t="str">
            <v>审核人</v>
          </cell>
          <cell r="R1" t="str">
            <v>停用</v>
          </cell>
          <cell r="S1" t="str">
            <v>备注</v>
          </cell>
          <cell r="T1" t="str">
            <v>上新时间</v>
          </cell>
          <cell r="U1" t="str">
            <v>货品第二单位</v>
          </cell>
          <cell r="V1" t="str">
            <v>禁售天数</v>
          </cell>
          <cell r="W1" t="str">
            <v>临期预警天数</v>
          </cell>
          <cell r="X1" t="str">
            <v>禁收天数</v>
          </cell>
          <cell r="Y1" t="str">
            <v>规格编号</v>
          </cell>
          <cell r="Z1" t="str">
            <v>规格</v>
          </cell>
          <cell r="AA1" t="str">
            <v>条码</v>
          </cell>
          <cell r="AB1" t="str">
            <v>长</v>
          </cell>
          <cell r="AC1" t="str">
            <v>宽</v>
          </cell>
          <cell r="AD1" t="str">
            <v>高</v>
          </cell>
          <cell r="AE1" t="str">
            <v>体积</v>
          </cell>
          <cell r="AF1" t="str">
            <v>体积单位</v>
          </cell>
          <cell r="AG1" t="str">
            <v>重量</v>
          </cell>
          <cell r="AH1" t="str">
            <v>重量单位</v>
          </cell>
          <cell r="AI1" t="str">
            <v>固定成本价</v>
          </cell>
          <cell r="AJ1" t="str">
            <v>附加码</v>
          </cell>
          <cell r="AK1" t="str">
            <v>规格备注</v>
          </cell>
        </row>
        <row r="2">
          <cell r="A2">
            <v>1300100219</v>
          </cell>
          <cell r="B2" t="str">
            <v>三维扫描仪Seal基础款(4规)</v>
          </cell>
          <cell r="C2" t="str">
            <v>3D Scanner Seal Standard</v>
          </cell>
          <cell r="D2" t="str">
            <v>台</v>
          </cell>
          <cell r="E2" t="str">
            <v>6975925241293</v>
          </cell>
          <cell r="F2" t="str">
            <v>Seal基础款(4规)</v>
          </cell>
          <cell r="G2" t="str">
            <v>3DMakerpro</v>
          </cell>
          <cell r="H2" t="str">
            <v>三维扫描仪-JMS2</v>
          </cell>
          <cell r="I2" t="str">
            <v>否</v>
          </cell>
          <cell r="J2" t="str">
            <v>否</v>
          </cell>
          <cell r="K2" t="str">
            <v>深圳积木易搭科技技术有限公司</v>
          </cell>
          <cell r="L2" t="str">
            <v/>
          </cell>
          <cell r="M2" t="str">
            <v>2025-05-20 16:32:43</v>
          </cell>
          <cell r="N2" t="str">
            <v>2025-05-20 17:34:42</v>
          </cell>
          <cell r="O2" t="str">
            <v>单涛</v>
          </cell>
          <cell r="P2" t="str">
            <v>单涛</v>
          </cell>
          <cell r="Q2" t="str">
            <v/>
          </cell>
          <cell r="R2" t="str">
            <v>否</v>
          </cell>
          <cell r="S2" t="str">
            <v/>
          </cell>
          <cell r="T2" t="str">
            <v/>
          </cell>
          <cell r="U2" t="str">
            <v/>
          </cell>
          <cell r="V2" t="str">
            <v/>
          </cell>
          <cell r="W2" t="str">
            <v/>
          </cell>
          <cell r="X2" t="str">
            <v/>
          </cell>
          <cell r="Y2" t="str">
            <v>1300100219</v>
          </cell>
          <cell r="Z2" t="str">
            <v>JMS2</v>
          </cell>
          <cell r="AA2" t="str">
            <v>6975925241293</v>
          </cell>
          <cell r="AB2">
            <v>22</v>
          </cell>
          <cell r="AC2">
            <v>15</v>
          </cell>
          <cell r="AD2">
            <v>7</v>
          </cell>
          <cell r="AE2">
            <v>2310</v>
          </cell>
          <cell r="AF2" t="str">
            <v>cm³</v>
          </cell>
          <cell r="AG2">
            <v>0.65</v>
          </cell>
          <cell r="AH2" t="str">
            <v>kg</v>
          </cell>
          <cell r="AI2">
            <v>559.2</v>
          </cell>
          <cell r="AJ2" t="str">
            <v>9031499000</v>
          </cell>
          <cell r="AK2" t="str">
            <v>13.2KGS,16PCS/CTNS,外箱：44*33*31cm
出卢森堡申报单价：646.09USD</v>
          </cell>
        </row>
        <row r="3">
          <cell r="A3">
            <v>1300100220</v>
          </cell>
          <cell r="B3" t="str">
            <v>三维扫描仪Seal升级款(4规)</v>
          </cell>
          <cell r="C3" t="str">
            <v>3D Scanner Seal Premium</v>
          </cell>
          <cell r="D3" t="str">
            <v>台</v>
          </cell>
          <cell r="E3" t="str">
            <v>6975925241309</v>
          </cell>
          <cell r="F3" t="str">
            <v>Seal升级款(4规)</v>
          </cell>
          <cell r="G3" t="str">
            <v>3DMakerpro</v>
          </cell>
          <cell r="H3" t="str">
            <v>三维扫描仪-JMS2</v>
          </cell>
          <cell r="I3" t="str">
            <v>否</v>
          </cell>
          <cell r="J3" t="str">
            <v>否</v>
          </cell>
          <cell r="K3" t="str">
            <v>深圳积木易搭科技技术有限公司</v>
          </cell>
          <cell r="L3" t="str">
            <v/>
          </cell>
          <cell r="M3" t="str">
            <v>2025-05-20 16:32:43</v>
          </cell>
          <cell r="N3" t="str">
            <v>2025-05-20 17:34:57</v>
          </cell>
          <cell r="O3" t="str">
            <v>单涛</v>
          </cell>
          <cell r="P3" t="str">
            <v>单涛</v>
          </cell>
          <cell r="Q3" t="str">
            <v/>
          </cell>
          <cell r="R3" t="str">
            <v>否</v>
          </cell>
          <cell r="S3" t="str">
            <v/>
          </cell>
          <cell r="T3" t="str">
            <v/>
          </cell>
          <cell r="U3" t="str">
            <v/>
          </cell>
          <cell r="V3" t="str">
            <v/>
          </cell>
          <cell r="W3" t="str">
            <v/>
          </cell>
          <cell r="X3" t="str">
            <v/>
          </cell>
          <cell r="Y3" t="str">
            <v>1300100220</v>
          </cell>
          <cell r="Z3" t="str">
            <v>JMS2</v>
          </cell>
          <cell r="AA3" t="str">
            <v>6975925241309</v>
          </cell>
          <cell r="AB3">
            <v>27</v>
          </cell>
          <cell r="AC3">
            <v>26</v>
          </cell>
          <cell r="AD3">
            <v>10</v>
          </cell>
          <cell r="AE3">
            <v>7020</v>
          </cell>
          <cell r="AF3" t="str">
            <v>cm³</v>
          </cell>
          <cell r="AG3">
            <v>1.66</v>
          </cell>
          <cell r="AH3" t="str">
            <v>kg</v>
          </cell>
          <cell r="AI3">
            <v>607.2</v>
          </cell>
          <cell r="AJ3" t="str">
            <v>9031499000</v>
          </cell>
          <cell r="AK3" t="str">
            <v>11.2KGS，6PCS/CTN，49*41*36cm
出卢森堡申报单价：699.44USD</v>
          </cell>
        </row>
        <row r="4">
          <cell r="A4">
            <v>1300100221</v>
          </cell>
          <cell r="B4" t="str">
            <v>三维扫描仪Seal豪华款(4规)</v>
          </cell>
          <cell r="C4" t="str">
            <v>3D Scanner Seal Luxury</v>
          </cell>
          <cell r="D4" t="str">
            <v>台</v>
          </cell>
          <cell r="E4" t="str">
            <v>6975925241316</v>
          </cell>
          <cell r="F4" t="str">
            <v>Seal豪华款(4规)</v>
          </cell>
          <cell r="G4" t="str">
            <v>3DMakerpro</v>
          </cell>
          <cell r="H4" t="str">
            <v>三维扫描仪-JMS2</v>
          </cell>
          <cell r="I4" t="str">
            <v>否</v>
          </cell>
          <cell r="J4" t="str">
            <v>否</v>
          </cell>
          <cell r="K4" t="str">
            <v>深圳积木易搭科技技术有限公司</v>
          </cell>
          <cell r="L4" t="str">
            <v/>
          </cell>
          <cell r="M4" t="str">
            <v>2025-05-20 16:32:43</v>
          </cell>
          <cell r="N4" t="str">
            <v>2025-05-20 17:35:39</v>
          </cell>
          <cell r="O4" t="str">
            <v>单涛</v>
          </cell>
          <cell r="P4" t="str">
            <v>单涛</v>
          </cell>
          <cell r="Q4" t="str">
            <v/>
          </cell>
          <cell r="R4" t="str">
            <v>否</v>
          </cell>
          <cell r="S4" t="str">
            <v/>
          </cell>
          <cell r="T4" t="str">
            <v/>
          </cell>
          <cell r="U4" t="str">
            <v/>
          </cell>
          <cell r="V4" t="str">
            <v/>
          </cell>
          <cell r="W4" t="str">
            <v/>
          </cell>
          <cell r="X4" t="str">
            <v/>
          </cell>
          <cell r="Y4" t="str">
            <v>1300100221</v>
          </cell>
          <cell r="Z4" t="str">
            <v>JMS2</v>
          </cell>
          <cell r="AA4" t="str">
            <v>6975925241316</v>
          </cell>
          <cell r="AB4">
            <v>0</v>
          </cell>
          <cell r="AC4">
            <v>0</v>
          </cell>
          <cell r="AD4">
            <v>0</v>
          </cell>
          <cell r="AE4">
            <v>0</v>
          </cell>
          <cell r="AF4" t="str">
            <v>cm³</v>
          </cell>
          <cell r="AG4" t="str">
            <v/>
          </cell>
          <cell r="AH4" t="str">
            <v/>
          </cell>
          <cell r="AI4" t="str">
            <v/>
          </cell>
          <cell r="AJ4" t="str">
            <v/>
          </cell>
          <cell r="AK4" t="str">
            <v>9031499000</v>
          </cell>
        </row>
        <row r="5">
          <cell r="A5">
            <v>1300100222</v>
          </cell>
          <cell r="B5" t="str">
            <v>三维扫描仪Seal Lite基础款(4规)</v>
          </cell>
          <cell r="C5" t="str">
            <v>3D Scanner Seal Lite Standard</v>
          </cell>
          <cell r="D5" t="str">
            <v>台</v>
          </cell>
          <cell r="E5" t="str">
            <v>6975925241323</v>
          </cell>
          <cell r="F5" t="str">
            <v>Seal Lite基础款(4规)</v>
          </cell>
          <cell r="G5" t="str">
            <v>3DMakerpro</v>
          </cell>
          <cell r="H5" t="str">
            <v>三维扫描仪-JMS1</v>
          </cell>
          <cell r="I5" t="str">
            <v>否</v>
          </cell>
          <cell r="J5" t="str">
            <v>否</v>
          </cell>
          <cell r="K5" t="str">
            <v>深圳积木易搭科技技术有限公司</v>
          </cell>
          <cell r="L5" t="str">
            <v/>
          </cell>
          <cell r="M5" t="str">
            <v>2025-05-20 16:32:43</v>
          </cell>
          <cell r="N5" t="str">
            <v>2025-05-20 17:35:49</v>
          </cell>
          <cell r="O5" t="str">
            <v>单涛</v>
          </cell>
          <cell r="P5" t="str">
            <v>单涛</v>
          </cell>
          <cell r="Q5" t="str">
            <v/>
          </cell>
          <cell r="R5" t="str">
            <v>否</v>
          </cell>
          <cell r="S5" t="str">
            <v/>
          </cell>
          <cell r="T5" t="str">
            <v/>
          </cell>
          <cell r="U5" t="str">
            <v/>
          </cell>
          <cell r="V5" t="str">
            <v/>
          </cell>
          <cell r="W5" t="str">
            <v/>
          </cell>
          <cell r="X5" t="str">
            <v/>
          </cell>
          <cell r="Y5" t="str">
            <v>1300100222</v>
          </cell>
          <cell r="Z5" t="str">
            <v>JMS1</v>
          </cell>
          <cell r="AA5" t="str">
            <v>6975925241323</v>
          </cell>
          <cell r="AB5">
            <v>22</v>
          </cell>
          <cell r="AC5">
            <v>15</v>
          </cell>
          <cell r="AD5">
            <v>7</v>
          </cell>
          <cell r="AE5">
            <v>2310</v>
          </cell>
          <cell r="AF5" t="str">
            <v>cm³</v>
          </cell>
          <cell r="AG5">
            <v>0.66</v>
          </cell>
          <cell r="AH5" t="str">
            <v>kg</v>
          </cell>
          <cell r="AI5">
            <v>287.2</v>
          </cell>
          <cell r="AJ5" t="str">
            <v>9031499000</v>
          </cell>
          <cell r="AK5" t="str">
            <v>12.3KGS,16PCS/CTN,外箱：44*33*31cm
出卢森堡申报单价：333.91USD</v>
          </cell>
        </row>
        <row r="6">
          <cell r="A6">
            <v>1300100223</v>
          </cell>
          <cell r="B6" t="str">
            <v>三维扫描仪Seal Lite升级款(4规)</v>
          </cell>
          <cell r="C6" t="str">
            <v>3D Scanner Seal Lite Premium</v>
          </cell>
          <cell r="D6" t="str">
            <v>台</v>
          </cell>
          <cell r="E6" t="str">
            <v>6975925241330</v>
          </cell>
          <cell r="F6" t="str">
            <v>Seal Lite升级款(4规)</v>
          </cell>
          <cell r="G6" t="str">
            <v>3DMakerpro</v>
          </cell>
          <cell r="H6" t="str">
            <v>三维扫描仪-JMS1</v>
          </cell>
          <cell r="I6" t="str">
            <v>否</v>
          </cell>
          <cell r="J6" t="str">
            <v>否</v>
          </cell>
          <cell r="K6" t="str">
            <v>深圳积木易搭科技技术有限公司</v>
          </cell>
          <cell r="L6" t="str">
            <v/>
          </cell>
          <cell r="M6" t="str">
            <v>2025-05-20 16:32:43</v>
          </cell>
          <cell r="N6" t="str">
            <v>2025-05-20 17:35:57</v>
          </cell>
          <cell r="O6" t="str">
            <v>单涛</v>
          </cell>
          <cell r="P6" t="str">
            <v>单涛</v>
          </cell>
          <cell r="Q6" t="str">
            <v/>
          </cell>
          <cell r="R6" t="str">
            <v>否</v>
          </cell>
          <cell r="S6" t="str">
            <v/>
          </cell>
          <cell r="T6" t="str">
            <v/>
          </cell>
          <cell r="U6" t="str">
            <v/>
          </cell>
          <cell r="V6" t="str">
            <v/>
          </cell>
          <cell r="W6" t="str">
            <v/>
          </cell>
          <cell r="X6" t="str">
            <v/>
          </cell>
          <cell r="Y6" t="str">
            <v>1300100223</v>
          </cell>
          <cell r="Z6" t="str">
            <v>JMS1</v>
          </cell>
          <cell r="AA6" t="str">
            <v>6975925241330</v>
          </cell>
          <cell r="AB6">
            <v>27</v>
          </cell>
          <cell r="AC6">
            <v>26</v>
          </cell>
          <cell r="AD6">
            <v>10</v>
          </cell>
          <cell r="AE6">
            <v>7020</v>
          </cell>
          <cell r="AF6" t="str">
            <v>cm³</v>
          </cell>
          <cell r="AG6">
            <v>1.66</v>
          </cell>
          <cell r="AH6" t="str">
            <v>kg</v>
          </cell>
          <cell r="AI6">
            <v>335.2</v>
          </cell>
          <cell r="AJ6" t="str">
            <v>9031499000</v>
          </cell>
          <cell r="AK6" t="str">
            <v>11.2KGS，6PCS/CTN，49*41*36cm
出卢森堡申报单价：408.01USD</v>
          </cell>
        </row>
        <row r="7">
          <cell r="A7">
            <v>1300100224</v>
          </cell>
          <cell r="B7" t="str">
            <v>三维扫描仪Seal Lite豪华款(4规)</v>
          </cell>
          <cell r="C7" t="str">
            <v>3D Scanner Seal Lite Luxury</v>
          </cell>
          <cell r="D7" t="str">
            <v>台</v>
          </cell>
          <cell r="E7" t="str">
            <v>6975925241347</v>
          </cell>
          <cell r="F7" t="str">
            <v>Seal Lite豪华款(4规)</v>
          </cell>
          <cell r="G7" t="str">
            <v>3DMakerpro</v>
          </cell>
          <cell r="H7" t="str">
            <v>三维扫描仪-JMS1</v>
          </cell>
          <cell r="I7" t="str">
            <v>否</v>
          </cell>
          <cell r="J7" t="str">
            <v>否</v>
          </cell>
          <cell r="K7" t="str">
            <v>深圳积木易搭科技技术有限公司</v>
          </cell>
          <cell r="L7" t="str">
            <v/>
          </cell>
          <cell r="M7" t="str">
            <v>2025-05-20 16:32:43</v>
          </cell>
          <cell r="N7" t="str">
            <v>2025-05-20 17:36:18</v>
          </cell>
          <cell r="O7" t="str">
            <v>单涛</v>
          </cell>
          <cell r="P7" t="str">
            <v>单涛</v>
          </cell>
          <cell r="Q7" t="str">
            <v/>
          </cell>
          <cell r="R7" t="str">
            <v>否</v>
          </cell>
          <cell r="S7" t="str">
            <v/>
          </cell>
          <cell r="T7" t="str">
            <v/>
          </cell>
          <cell r="U7" t="str">
            <v/>
          </cell>
          <cell r="V7" t="str">
            <v/>
          </cell>
          <cell r="W7" t="str">
            <v/>
          </cell>
          <cell r="X7" t="str">
            <v/>
          </cell>
          <cell r="Y7" t="str">
            <v>1300100224</v>
          </cell>
          <cell r="Z7" t="str">
            <v>JMS1</v>
          </cell>
          <cell r="AA7" t="str">
            <v>6975925241347</v>
          </cell>
          <cell r="AB7">
            <v>0</v>
          </cell>
          <cell r="AC7">
            <v>0</v>
          </cell>
          <cell r="AD7">
            <v>0</v>
          </cell>
          <cell r="AE7">
            <v>0</v>
          </cell>
          <cell r="AF7" t="str">
            <v>cm³</v>
          </cell>
          <cell r="AG7" t="str">
            <v/>
          </cell>
          <cell r="AH7" t="str">
            <v/>
          </cell>
          <cell r="AI7" t="str">
            <v/>
          </cell>
          <cell r="AJ7" t="str">
            <v>9031499000</v>
          </cell>
          <cell r="AK7" t="str">
            <v/>
          </cell>
        </row>
        <row r="8">
          <cell r="A8">
            <v>1300100225</v>
          </cell>
          <cell r="B8" t="str">
            <v>耳样扫描仪JME3(4规)</v>
          </cell>
          <cell r="C8" t="str">
            <v>3D Scanner JME3</v>
          </cell>
          <cell r="D8" t="str">
            <v>台</v>
          </cell>
          <cell r="E8" t="str">
            <v/>
          </cell>
          <cell r="F8" t="str">
            <v>耳样扫描仪JME3(4规)</v>
          </cell>
          <cell r="G8" t="str">
            <v/>
          </cell>
          <cell r="H8" t="str">
            <v>耳样扫描仪-JME3</v>
          </cell>
          <cell r="I8" t="str">
            <v>否</v>
          </cell>
          <cell r="J8" t="str">
            <v>否</v>
          </cell>
          <cell r="K8" t="str">
            <v>深圳积木易搭科技技术有限公司</v>
          </cell>
          <cell r="L8" t="str">
            <v/>
          </cell>
          <cell r="M8" t="str">
            <v>2025-05-20 16:32:43</v>
          </cell>
          <cell r="N8" t="str">
            <v>2025-05-20 17:36:42</v>
          </cell>
          <cell r="O8" t="str">
            <v>单涛</v>
          </cell>
          <cell r="P8" t="str">
            <v>单涛</v>
          </cell>
          <cell r="Q8" t="str">
            <v/>
          </cell>
          <cell r="R8" t="str">
            <v>否</v>
          </cell>
          <cell r="S8" t="str">
            <v/>
          </cell>
          <cell r="T8" t="str">
            <v/>
          </cell>
          <cell r="U8" t="str">
            <v/>
          </cell>
          <cell r="V8" t="str">
            <v/>
          </cell>
          <cell r="W8" t="str">
            <v/>
          </cell>
          <cell r="X8" t="str">
            <v/>
          </cell>
          <cell r="Y8" t="str">
            <v>1300100225</v>
          </cell>
          <cell r="Z8" t="str">
            <v>JME3</v>
          </cell>
          <cell r="AA8" t="str">
            <v/>
          </cell>
          <cell r="AB8">
            <v>0</v>
          </cell>
          <cell r="AC8">
            <v>0</v>
          </cell>
          <cell r="AD8">
            <v>0</v>
          </cell>
          <cell r="AE8">
            <v>0</v>
          </cell>
          <cell r="AF8" t="str">
            <v>cm³</v>
          </cell>
          <cell r="AG8" t="str">
            <v/>
          </cell>
          <cell r="AH8" t="str">
            <v/>
          </cell>
          <cell r="AI8" t="str">
            <v/>
          </cell>
          <cell r="AJ8" t="str">
            <v>9031499000</v>
          </cell>
          <cell r="AK8" t="str">
            <v/>
          </cell>
        </row>
        <row r="9">
          <cell r="A9">
            <v>1300100226</v>
          </cell>
          <cell r="B9" t="str">
            <v>Seal双轴转台(4规)</v>
          </cell>
          <cell r="C9" t="str">
            <v>Multi-Axis Turntable for Seal</v>
          </cell>
          <cell r="D9" t="str">
            <v>台</v>
          </cell>
          <cell r="E9" t="str">
            <v>6975925241354</v>
          </cell>
          <cell r="F9" t="str">
            <v>Seal双轴转台(4规)</v>
          </cell>
          <cell r="G9" t="str">
            <v>3DMakerpro</v>
          </cell>
          <cell r="H9" t="str">
            <v>三维扫描仪备品备件</v>
          </cell>
          <cell r="I9" t="str">
            <v>否</v>
          </cell>
          <cell r="J9" t="str">
            <v>否</v>
          </cell>
          <cell r="K9" t="str">
            <v>深圳积木易搭科技技术有限公司</v>
          </cell>
          <cell r="L9" t="str">
            <v/>
          </cell>
          <cell r="M9" t="str">
            <v>2025-05-20 16:32:43</v>
          </cell>
          <cell r="N9" t="str">
            <v>2025-05-20 17:39:23</v>
          </cell>
          <cell r="O9" t="str">
            <v>单涛</v>
          </cell>
          <cell r="P9" t="str">
            <v>单涛</v>
          </cell>
          <cell r="Q9" t="str">
            <v/>
          </cell>
          <cell r="R9" t="str">
            <v>否</v>
          </cell>
          <cell r="S9" t="str">
            <v/>
          </cell>
          <cell r="T9" t="str">
            <v/>
          </cell>
          <cell r="U9" t="str">
            <v/>
          </cell>
          <cell r="V9" t="str">
            <v/>
          </cell>
          <cell r="W9" t="str">
            <v/>
          </cell>
          <cell r="X9" t="str">
            <v/>
          </cell>
          <cell r="Y9" t="str">
            <v>1300100226</v>
          </cell>
          <cell r="Z9" t="str">
            <v>-</v>
          </cell>
          <cell r="AA9" t="str">
            <v>6975925241354</v>
          </cell>
          <cell r="AB9">
            <v>35</v>
          </cell>
          <cell r="AC9">
            <v>27</v>
          </cell>
          <cell r="AD9">
            <v>23</v>
          </cell>
          <cell r="AE9">
            <v>21735</v>
          </cell>
          <cell r="AF9" t="str">
            <v>cm³</v>
          </cell>
          <cell r="AG9">
            <v>2.7</v>
          </cell>
          <cell r="AH9" t="str">
            <v>kg</v>
          </cell>
          <cell r="AI9">
            <v>187.2</v>
          </cell>
          <cell r="AJ9" t="str">
            <v>9031900090</v>
          </cell>
          <cell r="AK9" t="str">
            <v>出卢森堡申报单价：196.59USD</v>
          </cell>
        </row>
        <row r="10">
          <cell r="A10">
            <v>1300100227</v>
          </cell>
          <cell r="B10" t="str">
            <v>三维扫描仪JMA1(4规)</v>
          </cell>
          <cell r="C10" t="str">
            <v>3D Scanner JMA1</v>
          </cell>
          <cell r="D10" t="str">
            <v>台</v>
          </cell>
          <cell r="E10" t="str">
            <v/>
          </cell>
          <cell r="F10" t="str">
            <v>三维扫描仪JMA1(4规)</v>
          </cell>
          <cell r="G10" t="str">
            <v/>
          </cell>
          <cell r="H10" t="str">
            <v>三维扫描仪-JMA1</v>
          </cell>
          <cell r="I10" t="str">
            <v>否</v>
          </cell>
          <cell r="J10" t="str">
            <v>否</v>
          </cell>
          <cell r="K10" t="str">
            <v>深圳积木易搭科技技术有限公司</v>
          </cell>
          <cell r="L10" t="str">
            <v/>
          </cell>
          <cell r="M10" t="str">
            <v>2025-05-20 16:32:43</v>
          </cell>
          <cell r="N10" t="str">
            <v>2025-05-20 16:32:43</v>
          </cell>
          <cell r="O10" t="str">
            <v>单涛</v>
          </cell>
          <cell r="P10" t="str">
            <v/>
          </cell>
          <cell r="Q10" t="str">
            <v/>
          </cell>
          <cell r="R10" t="str">
            <v>否</v>
          </cell>
          <cell r="S10" t="str">
            <v/>
          </cell>
          <cell r="T10" t="str">
            <v/>
          </cell>
          <cell r="U10" t="str">
            <v/>
          </cell>
          <cell r="V10" t="str">
            <v/>
          </cell>
          <cell r="W10" t="str">
            <v/>
          </cell>
          <cell r="X10" t="str">
            <v/>
          </cell>
          <cell r="Y10" t="str">
            <v>1300100227</v>
          </cell>
          <cell r="Z10" t="str">
            <v>JMA1</v>
          </cell>
          <cell r="AA10" t="str">
            <v/>
          </cell>
          <cell r="AB10" t="str">
            <v/>
          </cell>
          <cell r="AC10" t="str">
            <v/>
          </cell>
          <cell r="AD10" t="str">
            <v/>
          </cell>
          <cell r="AE10">
            <v>0</v>
          </cell>
          <cell r="AF10" t="str">
            <v/>
          </cell>
          <cell r="AG10" t="str">
            <v/>
          </cell>
          <cell r="AH10" t="str">
            <v/>
          </cell>
          <cell r="AI10" t="str">
            <v/>
          </cell>
          <cell r="AJ10" t="str">
            <v/>
          </cell>
          <cell r="AK10" t="str">
            <v/>
          </cell>
        </row>
        <row r="11">
          <cell r="A11">
            <v>1300100228</v>
          </cell>
          <cell r="B11" t="str">
            <v>Color Kit 2彩色套件(4规)</v>
          </cell>
          <cell r="C11" t="str">
            <v>Color Kit 2</v>
          </cell>
          <cell r="D11" t="str">
            <v>台</v>
          </cell>
          <cell r="E11" t="str">
            <v>6975925241361</v>
          </cell>
          <cell r="F11" t="str">
            <v>Color Kit 2彩色套件(4规)</v>
          </cell>
          <cell r="G11" t="str">
            <v>3DMakerpro</v>
          </cell>
          <cell r="H11" t="str">
            <v>三维扫描仪备品备件</v>
          </cell>
          <cell r="I11" t="str">
            <v>否</v>
          </cell>
          <cell r="J11" t="str">
            <v>否</v>
          </cell>
          <cell r="K11" t="str">
            <v>深圳积木易搭科技技术有限公司</v>
          </cell>
          <cell r="L11" t="str">
            <v/>
          </cell>
          <cell r="M11" t="str">
            <v>2025-05-20 16:32:43</v>
          </cell>
          <cell r="N11" t="str">
            <v>2025-05-20 17:40:47</v>
          </cell>
          <cell r="O11" t="str">
            <v>单涛</v>
          </cell>
          <cell r="P11" t="str">
            <v>单涛</v>
          </cell>
          <cell r="Q11" t="str">
            <v/>
          </cell>
          <cell r="R11" t="str">
            <v>否</v>
          </cell>
          <cell r="S11" t="str">
            <v/>
          </cell>
          <cell r="T11" t="str">
            <v/>
          </cell>
          <cell r="U11" t="str">
            <v/>
          </cell>
          <cell r="V11" t="str">
            <v/>
          </cell>
          <cell r="W11" t="str">
            <v/>
          </cell>
          <cell r="X11" t="str">
            <v/>
          </cell>
          <cell r="Y11" t="str">
            <v>1300100228</v>
          </cell>
          <cell r="Z11" t="str">
            <v>-</v>
          </cell>
          <cell r="AA11" t="str">
            <v>6975925241361</v>
          </cell>
          <cell r="AB11">
            <v>38</v>
          </cell>
          <cell r="AC11">
            <v>26</v>
          </cell>
          <cell r="AD11">
            <v>15</v>
          </cell>
          <cell r="AE11">
            <v>14820</v>
          </cell>
          <cell r="AF11" t="str">
            <v>cm³</v>
          </cell>
          <cell r="AG11">
            <v>2.5</v>
          </cell>
          <cell r="AH11" t="str">
            <v>kg</v>
          </cell>
          <cell r="AI11">
            <v>159.2</v>
          </cell>
          <cell r="AJ11" t="str">
            <v>9006919900</v>
          </cell>
          <cell r="AK11" t="str">
            <v/>
          </cell>
        </row>
        <row r="12">
          <cell r="A12">
            <v>1300100229</v>
          </cell>
          <cell r="B12" t="str">
            <v>三维扫描仪Moose基础款(4规)</v>
          </cell>
          <cell r="C12" t="str">
            <v>3D Scanner Moose Standard</v>
          </cell>
          <cell r="D12" t="str">
            <v>台</v>
          </cell>
          <cell r="E12" t="str">
            <v>6975925241378</v>
          </cell>
          <cell r="F12" t="str">
            <v>Moose基础款(4规)</v>
          </cell>
          <cell r="G12" t="str">
            <v>3DMakerpro</v>
          </cell>
          <cell r="H12" t="str">
            <v>三维扫描仪-JMM3</v>
          </cell>
          <cell r="I12" t="str">
            <v>否</v>
          </cell>
          <cell r="J12" t="str">
            <v>否</v>
          </cell>
          <cell r="K12" t="str">
            <v>深圳积木易搭科技技术有限公司</v>
          </cell>
          <cell r="L12" t="str">
            <v/>
          </cell>
          <cell r="M12" t="str">
            <v>2025-05-20 16:32:43</v>
          </cell>
          <cell r="N12" t="str">
            <v>2025-05-20 17:50:04</v>
          </cell>
          <cell r="O12" t="str">
            <v>单涛</v>
          </cell>
          <cell r="P12" t="str">
            <v>单涛</v>
          </cell>
          <cell r="Q12" t="str">
            <v/>
          </cell>
          <cell r="R12" t="str">
            <v>否</v>
          </cell>
          <cell r="S12" t="str">
            <v/>
          </cell>
          <cell r="T12" t="str">
            <v/>
          </cell>
          <cell r="U12" t="str">
            <v/>
          </cell>
          <cell r="V12" t="str">
            <v/>
          </cell>
          <cell r="W12" t="str">
            <v/>
          </cell>
          <cell r="X12" t="str">
            <v/>
          </cell>
          <cell r="Y12" t="str">
            <v>1300100229</v>
          </cell>
          <cell r="Z12" t="str">
            <v>JMM3</v>
          </cell>
          <cell r="AA12" t="str">
            <v>6975925241378</v>
          </cell>
          <cell r="AB12">
            <v>20</v>
          </cell>
          <cell r="AC12">
            <v>17</v>
          </cell>
          <cell r="AD12">
            <v>6</v>
          </cell>
          <cell r="AE12">
            <v>2040</v>
          </cell>
          <cell r="AF12" t="str">
            <v>cm³</v>
          </cell>
          <cell r="AG12">
            <v>0.73</v>
          </cell>
          <cell r="AH12" t="str">
            <v>kg</v>
          </cell>
          <cell r="AI12">
            <v>559.2</v>
          </cell>
          <cell r="AJ12" t="str">
            <v>9031499000</v>
          </cell>
          <cell r="AK12" t="str">
            <v>20PCS/CTN,15.8KGS,外箱：44*33*31cm
出卢森堡申报单价：646.09USD</v>
          </cell>
        </row>
        <row r="13">
          <cell r="A13">
            <v>1300100230</v>
          </cell>
          <cell r="B13" t="str">
            <v>三维扫描仪Moose升级款(4规)</v>
          </cell>
          <cell r="C13" t="str">
            <v>3D Scanner Moose Premium</v>
          </cell>
          <cell r="D13" t="str">
            <v>台</v>
          </cell>
          <cell r="E13" t="str">
            <v>6975925241385</v>
          </cell>
          <cell r="F13" t="str">
            <v>Moose升级款(4规)</v>
          </cell>
          <cell r="G13" t="str">
            <v>3DMakerpro</v>
          </cell>
          <cell r="H13" t="str">
            <v>三维扫描仪-JMM3</v>
          </cell>
          <cell r="I13" t="str">
            <v>否</v>
          </cell>
          <cell r="J13" t="str">
            <v>否</v>
          </cell>
          <cell r="K13" t="str">
            <v>深圳积木易搭科技技术有限公司</v>
          </cell>
          <cell r="L13" t="str">
            <v/>
          </cell>
          <cell r="M13" t="str">
            <v>2025-05-20 16:32:43</v>
          </cell>
          <cell r="N13" t="str">
            <v>2025-05-20 17:50:25</v>
          </cell>
          <cell r="O13" t="str">
            <v>单涛</v>
          </cell>
          <cell r="P13" t="str">
            <v>单涛</v>
          </cell>
          <cell r="Q13" t="str">
            <v/>
          </cell>
          <cell r="R13" t="str">
            <v>否</v>
          </cell>
          <cell r="S13" t="str">
            <v/>
          </cell>
          <cell r="T13" t="str">
            <v/>
          </cell>
          <cell r="U13" t="str">
            <v/>
          </cell>
          <cell r="V13" t="str">
            <v/>
          </cell>
          <cell r="W13" t="str">
            <v/>
          </cell>
          <cell r="X13" t="str">
            <v/>
          </cell>
          <cell r="Y13" t="str">
            <v>1300100230</v>
          </cell>
          <cell r="Z13" t="str">
            <v>JMM3</v>
          </cell>
          <cell r="AA13" t="str">
            <v>6975925241385</v>
          </cell>
          <cell r="AB13">
            <v>27</v>
          </cell>
          <cell r="AC13">
            <v>26</v>
          </cell>
          <cell r="AD13">
            <v>10</v>
          </cell>
          <cell r="AE13">
            <v>7020</v>
          </cell>
          <cell r="AF13" t="str">
            <v>cm³</v>
          </cell>
          <cell r="AG13">
            <v>1.7</v>
          </cell>
          <cell r="AH13" t="str">
            <v>kg</v>
          </cell>
          <cell r="AI13">
            <v>607.2</v>
          </cell>
          <cell r="AJ13" t="str">
            <v>9031499000</v>
          </cell>
          <cell r="AK13" t="str">
            <v>6PCS/CTN,11.2gs,CTN Size:49*41*36cm
出卢森堡申报单价：699.44USD</v>
          </cell>
        </row>
        <row r="14">
          <cell r="A14">
            <v>1300100231</v>
          </cell>
          <cell r="B14" t="str">
            <v>三维扫描仪Moose豪华款(4规)</v>
          </cell>
          <cell r="C14" t="str">
            <v>3D Scanner Moose Luxury</v>
          </cell>
          <cell r="D14" t="str">
            <v>台</v>
          </cell>
          <cell r="E14" t="str">
            <v>6975925241392</v>
          </cell>
          <cell r="F14" t="str">
            <v>Moose豪华款(4规)</v>
          </cell>
          <cell r="G14" t="str">
            <v>3DMakerpro</v>
          </cell>
          <cell r="H14" t="str">
            <v>三维扫描仪-JMM3</v>
          </cell>
          <cell r="I14" t="str">
            <v>否</v>
          </cell>
          <cell r="J14" t="str">
            <v>否</v>
          </cell>
          <cell r="K14" t="str">
            <v>深圳积木易搭科技技术有限公司</v>
          </cell>
          <cell r="L14" t="str">
            <v/>
          </cell>
          <cell r="M14" t="str">
            <v>2025-05-20 16:32:43</v>
          </cell>
          <cell r="N14" t="str">
            <v>2025-05-20 17:50:34</v>
          </cell>
          <cell r="O14" t="str">
            <v>单涛</v>
          </cell>
          <cell r="P14" t="str">
            <v>单涛</v>
          </cell>
          <cell r="Q14" t="str">
            <v/>
          </cell>
          <cell r="R14" t="str">
            <v>否</v>
          </cell>
          <cell r="S14" t="str">
            <v/>
          </cell>
          <cell r="T14" t="str">
            <v/>
          </cell>
          <cell r="U14" t="str">
            <v/>
          </cell>
          <cell r="V14" t="str">
            <v/>
          </cell>
          <cell r="W14" t="str">
            <v/>
          </cell>
          <cell r="X14" t="str">
            <v/>
          </cell>
          <cell r="Y14" t="str">
            <v>1300100231</v>
          </cell>
          <cell r="Z14" t="str">
            <v>JMM3</v>
          </cell>
          <cell r="AA14" t="str">
            <v>6975925241392</v>
          </cell>
          <cell r="AB14">
            <v>28</v>
          </cell>
          <cell r="AC14">
            <v>37</v>
          </cell>
          <cell r="AD14">
            <v>11</v>
          </cell>
          <cell r="AE14">
            <v>11396</v>
          </cell>
          <cell r="AF14" t="str">
            <v>cm³</v>
          </cell>
          <cell r="AG14">
            <v>2.55</v>
          </cell>
          <cell r="AH14" t="str">
            <v>kg</v>
          </cell>
          <cell r="AI14">
            <v>798.4</v>
          </cell>
          <cell r="AJ14" t="str">
            <v>9031499000</v>
          </cell>
          <cell r="AK14" t="str">
            <v>5PCS/CTNS,13.8kgs,Size:49*41*36cm
出卢森堡申报单价：912.83USD</v>
          </cell>
        </row>
        <row r="15">
          <cell r="A15">
            <v>1300100232</v>
          </cell>
          <cell r="B15" t="str">
            <v>三维扫描仪Moose Lite基础款(4规)</v>
          </cell>
          <cell r="C15" t="str">
            <v>3D Scanner Moose Lite Standard</v>
          </cell>
          <cell r="D15" t="str">
            <v>台</v>
          </cell>
          <cell r="E15" t="str">
            <v>6975925241408</v>
          </cell>
          <cell r="F15" t="str">
            <v>Moose Lite基础款(4规)</v>
          </cell>
          <cell r="G15" t="str">
            <v>3DMakerpro</v>
          </cell>
          <cell r="H15" t="str">
            <v>三维扫描仪-JMM4</v>
          </cell>
          <cell r="I15" t="str">
            <v>否</v>
          </cell>
          <cell r="J15" t="str">
            <v>否</v>
          </cell>
          <cell r="K15" t="str">
            <v>深圳积木易搭科技技术有限公司</v>
          </cell>
          <cell r="L15" t="str">
            <v/>
          </cell>
          <cell r="M15" t="str">
            <v>2025-05-20 16:32:43</v>
          </cell>
          <cell r="N15" t="str">
            <v>2025-05-20 17:50:43</v>
          </cell>
          <cell r="O15" t="str">
            <v>单涛</v>
          </cell>
          <cell r="P15" t="str">
            <v>单涛</v>
          </cell>
          <cell r="Q15" t="str">
            <v/>
          </cell>
          <cell r="R15" t="str">
            <v>否</v>
          </cell>
          <cell r="S15" t="str">
            <v/>
          </cell>
          <cell r="T15" t="str">
            <v/>
          </cell>
          <cell r="U15" t="str">
            <v/>
          </cell>
          <cell r="V15" t="str">
            <v/>
          </cell>
          <cell r="W15" t="str">
            <v/>
          </cell>
          <cell r="X15" t="str">
            <v/>
          </cell>
          <cell r="Y15" t="str">
            <v>1300100232</v>
          </cell>
          <cell r="Z15" t="str">
            <v>JMM4</v>
          </cell>
          <cell r="AA15" t="str">
            <v>6975925241408</v>
          </cell>
          <cell r="AB15">
            <v>20</v>
          </cell>
          <cell r="AC15">
            <v>17</v>
          </cell>
          <cell r="AD15">
            <v>6</v>
          </cell>
          <cell r="AE15">
            <v>2040</v>
          </cell>
          <cell r="AF15" t="str">
            <v>cm³</v>
          </cell>
          <cell r="AG15">
            <v>0.74</v>
          </cell>
          <cell r="AH15" t="str">
            <v>kg</v>
          </cell>
          <cell r="AI15">
            <v>319.2</v>
          </cell>
          <cell r="AJ15" t="str">
            <v>9031499000</v>
          </cell>
          <cell r="AK15" t="str">
            <v>20PCS/CTN,15.8KGS,外箱：44*33*31cm
出卢森堡申报单价：369.48USD</v>
          </cell>
        </row>
        <row r="16">
          <cell r="A16">
            <v>1300100233</v>
          </cell>
          <cell r="B16" t="str">
            <v>三维扫描仪Moose Lite升级款(4规)</v>
          </cell>
          <cell r="C16" t="str">
            <v>3D Scanner Moose Lite Premium</v>
          </cell>
          <cell r="D16" t="str">
            <v>台</v>
          </cell>
          <cell r="E16" t="str">
            <v>6975925241415</v>
          </cell>
          <cell r="F16" t="str">
            <v>Moose Lite升级款(4规)</v>
          </cell>
          <cell r="G16" t="str">
            <v>3DMakerpro</v>
          </cell>
          <cell r="H16" t="str">
            <v>三维扫描仪-JMM4</v>
          </cell>
          <cell r="I16" t="str">
            <v>否</v>
          </cell>
          <cell r="J16" t="str">
            <v>否</v>
          </cell>
          <cell r="K16" t="str">
            <v>深圳积木易搭科技技术有限公司</v>
          </cell>
          <cell r="L16" t="str">
            <v/>
          </cell>
          <cell r="M16" t="str">
            <v>2025-05-20 16:32:43</v>
          </cell>
          <cell r="N16" t="str">
            <v>2025-05-20 17:50:51</v>
          </cell>
          <cell r="O16" t="str">
            <v>单涛</v>
          </cell>
          <cell r="P16" t="str">
            <v>单涛</v>
          </cell>
          <cell r="Q16" t="str">
            <v/>
          </cell>
          <cell r="R16" t="str">
            <v>否</v>
          </cell>
          <cell r="S16" t="str">
            <v/>
          </cell>
          <cell r="T16" t="str">
            <v/>
          </cell>
          <cell r="U16" t="str">
            <v/>
          </cell>
          <cell r="V16" t="str">
            <v/>
          </cell>
          <cell r="W16" t="str">
            <v/>
          </cell>
          <cell r="X16" t="str">
            <v/>
          </cell>
          <cell r="Y16" t="str">
            <v>1300100233</v>
          </cell>
          <cell r="Z16" t="str">
            <v>JMM4</v>
          </cell>
          <cell r="AA16" t="str">
            <v>6975925241415</v>
          </cell>
          <cell r="AB16">
            <v>27</v>
          </cell>
          <cell r="AC16">
            <v>26</v>
          </cell>
          <cell r="AD16">
            <v>10</v>
          </cell>
          <cell r="AE16">
            <v>7020</v>
          </cell>
          <cell r="AF16" t="str">
            <v>cm³</v>
          </cell>
          <cell r="AG16">
            <v>1.7</v>
          </cell>
          <cell r="AH16" t="str">
            <v>kg</v>
          </cell>
          <cell r="AI16">
            <v>367.2</v>
          </cell>
          <cell r="AJ16" t="str">
            <v>9031499000</v>
          </cell>
          <cell r="AK16" t="str">
            <v>6PCS/CTN,11.2kgs,CTN Size:49*41*36cm
出卢森堡申报单价：410.97USD</v>
          </cell>
        </row>
        <row r="17">
          <cell r="A17">
            <v>1300100234</v>
          </cell>
          <cell r="B17" t="str">
            <v>三维扫描仪Moose Lite豪华款(4规)</v>
          </cell>
          <cell r="C17" t="str">
            <v>3D Scanner Moose Lite Luxury</v>
          </cell>
          <cell r="D17" t="str">
            <v>台</v>
          </cell>
          <cell r="E17" t="str">
            <v>6975925241422</v>
          </cell>
          <cell r="F17" t="str">
            <v>Moose Lite豪华款(4规)</v>
          </cell>
          <cell r="G17" t="str">
            <v>3DMakerpro</v>
          </cell>
          <cell r="H17" t="str">
            <v>三维扫描仪-JMM4</v>
          </cell>
          <cell r="I17" t="str">
            <v>否</v>
          </cell>
          <cell r="J17" t="str">
            <v>否</v>
          </cell>
          <cell r="K17" t="str">
            <v>深圳积木易搭科技技术有限公司</v>
          </cell>
          <cell r="L17" t="str">
            <v/>
          </cell>
          <cell r="M17" t="str">
            <v>2025-05-20 16:32:43</v>
          </cell>
          <cell r="N17" t="str">
            <v>2025-05-20 17:51:01</v>
          </cell>
          <cell r="O17" t="str">
            <v>单涛</v>
          </cell>
          <cell r="P17" t="str">
            <v>单涛</v>
          </cell>
          <cell r="Q17" t="str">
            <v/>
          </cell>
          <cell r="R17" t="str">
            <v>否</v>
          </cell>
          <cell r="S17" t="str">
            <v/>
          </cell>
          <cell r="T17" t="str">
            <v/>
          </cell>
          <cell r="U17" t="str">
            <v/>
          </cell>
          <cell r="V17" t="str">
            <v/>
          </cell>
          <cell r="W17" t="str">
            <v/>
          </cell>
          <cell r="X17" t="str">
            <v/>
          </cell>
          <cell r="Y17" t="str">
            <v>1300100234</v>
          </cell>
          <cell r="Z17" t="str">
            <v>JMM4</v>
          </cell>
          <cell r="AA17" t="str">
            <v>6975925241422</v>
          </cell>
          <cell r="AB17">
            <v>28</v>
          </cell>
          <cell r="AC17">
            <v>37</v>
          </cell>
          <cell r="AD17">
            <v>11</v>
          </cell>
          <cell r="AE17">
            <v>11396</v>
          </cell>
          <cell r="AF17" t="str">
            <v>cm³</v>
          </cell>
          <cell r="AG17">
            <v>2.55</v>
          </cell>
          <cell r="AH17" t="str">
            <v>kg</v>
          </cell>
          <cell r="AI17">
            <v>523.5</v>
          </cell>
          <cell r="AJ17" t="str">
            <v>9031499000</v>
          </cell>
          <cell r="AK17" t="str">
            <v>5PCS/CTNS,13.8kgs,Size:49*41*36cm
出卢森堡申报单价：646.09USD</v>
          </cell>
        </row>
        <row r="18">
          <cell r="A18">
            <v>1300100213</v>
          </cell>
          <cell r="B18" t="str">
            <v>面部扫描仪JMF1基础款</v>
          </cell>
          <cell r="C18" t="str">
            <v/>
          </cell>
          <cell r="D18" t="str">
            <v>台</v>
          </cell>
          <cell r="E18" t="str">
            <v/>
          </cell>
          <cell r="F18" t="str">
            <v>面部扫描仪JMF1基础款</v>
          </cell>
          <cell r="G18" t="str">
            <v>3DIFY</v>
          </cell>
          <cell r="H18" t="str">
            <v>面部扫描仪-JMF1</v>
          </cell>
          <cell r="I18" t="str">
            <v>否</v>
          </cell>
          <cell r="J18" t="str">
            <v>否</v>
          </cell>
          <cell r="K18" t="str">
            <v>深圳积木易搭科技技术有限公司</v>
          </cell>
          <cell r="L18" t="str">
            <v/>
          </cell>
          <cell r="M18" t="str">
            <v>2025-02-25 17:01:44</v>
          </cell>
          <cell r="N18" t="str">
            <v>2025-04-01 11:08:19</v>
          </cell>
          <cell r="O18" t="str">
            <v>单涛</v>
          </cell>
          <cell r="P18" t="str">
            <v>单涛</v>
          </cell>
          <cell r="Q18" t="str">
            <v/>
          </cell>
          <cell r="R18" t="str">
            <v>否</v>
          </cell>
          <cell r="S18" t="str">
            <v/>
          </cell>
          <cell r="T18" t="str">
            <v/>
          </cell>
          <cell r="U18" t="str">
            <v/>
          </cell>
          <cell r="V18" t="str">
            <v/>
          </cell>
          <cell r="W18" t="str">
            <v/>
          </cell>
          <cell r="X18" t="str">
            <v/>
          </cell>
          <cell r="Y18" t="str">
            <v>1300100213</v>
          </cell>
          <cell r="Z18" t="str">
            <v>JMF1</v>
          </cell>
          <cell r="AA18" t="str">
            <v/>
          </cell>
          <cell r="AB18">
            <v>71</v>
          </cell>
          <cell r="AC18">
            <v>46</v>
          </cell>
          <cell r="AD18">
            <v>67</v>
          </cell>
          <cell r="AE18">
            <v>218822</v>
          </cell>
          <cell r="AF18" t="str">
            <v>cm³</v>
          </cell>
          <cell r="AG18">
            <v>25.25</v>
          </cell>
          <cell r="AH18" t="str">
            <v>kg</v>
          </cell>
          <cell r="AI18" t="str">
            <v/>
          </cell>
          <cell r="AJ18" t="str">
            <v/>
          </cell>
          <cell r="AK18" t="str">
            <v/>
          </cell>
        </row>
        <row r="19">
          <cell r="A19">
            <v>1300100206</v>
          </cell>
          <cell r="B19" t="str">
            <v>面部扫描仪JMF1豪华款</v>
          </cell>
          <cell r="C19" t="str">
            <v/>
          </cell>
          <cell r="D19" t="str">
            <v>台</v>
          </cell>
          <cell r="E19" t="str">
            <v/>
          </cell>
          <cell r="F19" t="str">
            <v>面部扫描仪JMF1豪华款</v>
          </cell>
          <cell r="G19" t="str">
            <v>3DIFY</v>
          </cell>
          <cell r="H19" t="str">
            <v>面部扫描仪-JMF1</v>
          </cell>
          <cell r="I19" t="str">
            <v>否</v>
          </cell>
          <cell r="J19" t="str">
            <v>否</v>
          </cell>
          <cell r="K19" t="str">
            <v>深圳积木易搭科技技术有限公司</v>
          </cell>
          <cell r="L19" t="str">
            <v/>
          </cell>
          <cell r="M19" t="str">
            <v>2025-04-01 11:10:48</v>
          </cell>
          <cell r="N19" t="str">
            <v>2025-04-01 11:10:48</v>
          </cell>
          <cell r="O19" t="str">
            <v>单涛</v>
          </cell>
          <cell r="P19" t="str">
            <v/>
          </cell>
          <cell r="Q19" t="str">
            <v/>
          </cell>
          <cell r="R19" t="str">
            <v>否</v>
          </cell>
          <cell r="S19" t="str">
            <v/>
          </cell>
          <cell r="T19" t="str">
            <v/>
          </cell>
          <cell r="U19" t="str">
            <v/>
          </cell>
          <cell r="V19" t="str">
            <v/>
          </cell>
          <cell r="W19" t="str">
            <v/>
          </cell>
          <cell r="X19" t="str">
            <v/>
          </cell>
          <cell r="Y19" t="str">
            <v>1300100206</v>
          </cell>
          <cell r="Z19" t="str">
            <v>JMF1</v>
          </cell>
          <cell r="AA19" t="str">
            <v/>
          </cell>
          <cell r="AB19" t="str">
            <v/>
          </cell>
          <cell r="AC19" t="str">
            <v/>
          </cell>
          <cell r="AD19" t="str">
            <v/>
          </cell>
          <cell r="AE19" t="str">
            <v/>
          </cell>
          <cell r="AF19" t="str">
            <v/>
          </cell>
          <cell r="AG19" t="str">
            <v/>
          </cell>
          <cell r="AH19" t="str">
            <v/>
          </cell>
          <cell r="AI19" t="str">
            <v/>
          </cell>
          <cell r="AJ19" t="str">
            <v/>
          </cell>
          <cell r="AK19" t="str">
            <v/>
          </cell>
        </row>
        <row r="20">
          <cell r="A20">
            <v>1300100145</v>
          </cell>
          <cell r="B20" t="str">
            <v>口腔光学扫描仪JMO1</v>
          </cell>
          <cell r="C20" t="str">
            <v>Intraoral 3D scanner</v>
          </cell>
          <cell r="D20" t="str">
            <v>台</v>
          </cell>
          <cell r="E20" t="str">
            <v/>
          </cell>
          <cell r="F20" t="str">
            <v>口腔光学扫描仪 JMO1</v>
          </cell>
          <cell r="G20" t="str">
            <v>3DMakerpro</v>
          </cell>
          <cell r="H20" t="str">
            <v>三维扫描仪-JMO1</v>
          </cell>
          <cell r="I20" t="str">
            <v>否</v>
          </cell>
          <cell r="J20" t="str">
            <v>否</v>
          </cell>
          <cell r="K20" t="str">
            <v>深圳积木易搭科技技术有限公司</v>
          </cell>
          <cell r="L20" t="str">
            <v/>
          </cell>
          <cell r="M20" t="str">
            <v>2024-05-16 17:23:35</v>
          </cell>
          <cell r="N20" t="str">
            <v>2025-03-17 10:03:55</v>
          </cell>
          <cell r="O20" t="str">
            <v>单涛</v>
          </cell>
          <cell r="P20" t="str">
            <v>单涛</v>
          </cell>
          <cell r="Q20" t="str">
            <v/>
          </cell>
          <cell r="R20" t="str">
            <v>否</v>
          </cell>
          <cell r="S20" t="str">
            <v/>
          </cell>
          <cell r="T20" t="str">
            <v/>
          </cell>
          <cell r="U20" t="str">
            <v/>
          </cell>
          <cell r="V20" t="str">
            <v/>
          </cell>
          <cell r="W20" t="str">
            <v/>
          </cell>
          <cell r="X20" t="str">
            <v/>
          </cell>
          <cell r="Y20" t="str">
            <v>1300100145</v>
          </cell>
          <cell r="Z20" t="str">
            <v>JMO1</v>
          </cell>
          <cell r="AA20" t="str">
            <v/>
          </cell>
          <cell r="AB20" t="str">
            <v/>
          </cell>
          <cell r="AC20" t="str">
            <v/>
          </cell>
          <cell r="AD20" t="str">
            <v/>
          </cell>
          <cell r="AE20" t="str">
            <v/>
          </cell>
          <cell r="AF20" t="str">
            <v/>
          </cell>
          <cell r="AG20" t="str">
            <v/>
          </cell>
          <cell r="AH20" t="str">
            <v/>
          </cell>
          <cell r="AI20" t="str">
            <v/>
          </cell>
          <cell r="AJ20" t="str">
            <v/>
          </cell>
          <cell r="AK20" t="str">
            <v/>
          </cell>
        </row>
        <row r="21">
          <cell r="A21">
            <v>1300100150</v>
          </cell>
          <cell r="B21" t="str">
            <v>三维扫描仪JMA1(美欧)</v>
          </cell>
          <cell r="C21" t="str">
            <v>3D Scanner JMA1</v>
          </cell>
          <cell r="D21" t="str">
            <v>台</v>
          </cell>
          <cell r="E21" t="str">
            <v/>
          </cell>
          <cell r="F21" t="str">
            <v>桌扫JMA1(美欧)</v>
          </cell>
          <cell r="G21" t="str">
            <v>3DMakerpro</v>
          </cell>
          <cell r="H21" t="str">
            <v>三维扫描仪-JMA1</v>
          </cell>
          <cell r="I21" t="str">
            <v>否</v>
          </cell>
          <cell r="J21" t="str">
            <v>否</v>
          </cell>
          <cell r="K21" t="str">
            <v>深圳积木易搭科技技术有限公司</v>
          </cell>
          <cell r="L21" t="str">
            <v/>
          </cell>
          <cell r="M21" t="str">
            <v>2024-12-13 10:25:43</v>
          </cell>
          <cell r="N21" t="str">
            <v>2025-01-13 10:13:00</v>
          </cell>
          <cell r="O21" t="str">
            <v>单涛</v>
          </cell>
          <cell r="P21" t="str">
            <v>单涛</v>
          </cell>
          <cell r="Q21" t="str">
            <v/>
          </cell>
          <cell r="R21" t="str">
            <v>否</v>
          </cell>
          <cell r="S21" t="str">
            <v/>
          </cell>
          <cell r="T21" t="str">
            <v/>
          </cell>
          <cell r="U21" t="str">
            <v/>
          </cell>
          <cell r="V21" t="str">
            <v/>
          </cell>
          <cell r="W21" t="str">
            <v/>
          </cell>
          <cell r="X21" t="str">
            <v/>
          </cell>
          <cell r="Y21" t="str">
            <v>1300100150</v>
          </cell>
          <cell r="Z21" t="str">
            <v>JMA1</v>
          </cell>
          <cell r="AA21" t="str">
            <v/>
          </cell>
          <cell r="AB21" t="str">
            <v/>
          </cell>
          <cell r="AC21" t="str">
            <v/>
          </cell>
          <cell r="AD21" t="str">
            <v/>
          </cell>
          <cell r="AE21" t="str">
            <v/>
          </cell>
          <cell r="AF21" t="str">
            <v/>
          </cell>
          <cell r="AG21" t="str">
            <v/>
          </cell>
          <cell r="AH21" t="str">
            <v/>
          </cell>
          <cell r="AI21" t="str">
            <v/>
          </cell>
          <cell r="AJ21" t="str">
            <v>9031499000</v>
          </cell>
          <cell r="AK21" t="str">
            <v/>
          </cell>
        </row>
        <row r="22">
          <cell r="A22">
            <v>1300100211</v>
          </cell>
          <cell r="B22" t="str">
            <v>三维扫描仪Eagle JMK1 RTK</v>
          </cell>
          <cell r="C22" t="str">
            <v>3D Scanner Eagle JMK1 RTK</v>
          </cell>
          <cell r="D22" t="str">
            <v>台</v>
          </cell>
          <cell r="E22" t="str">
            <v>6975925241231</v>
          </cell>
          <cell r="F22" t="str">
            <v>空间扫描仪JMK1 MAX款(4规)+RTK</v>
          </cell>
          <cell r="G22" t="str">
            <v>3DMakerpro</v>
          </cell>
          <cell r="H22" t="str">
            <v>三维扫描仪-JMK1</v>
          </cell>
          <cell r="I22" t="str">
            <v>否</v>
          </cell>
          <cell r="J22" t="str">
            <v>否</v>
          </cell>
          <cell r="K22" t="str">
            <v>深圳积木易搭科技技术有限公司</v>
          </cell>
          <cell r="L22" t="str">
            <v/>
          </cell>
          <cell r="M22" t="str">
            <v>2025-02-18 10:19:53</v>
          </cell>
          <cell r="N22" t="str">
            <v>2025-03-20 14:44:20</v>
          </cell>
          <cell r="O22" t="str">
            <v>单涛</v>
          </cell>
          <cell r="P22" t="str">
            <v>单涛</v>
          </cell>
          <cell r="Q22" t="str">
            <v/>
          </cell>
          <cell r="R22" t="str">
            <v>否</v>
          </cell>
          <cell r="S22" t="str">
            <v/>
          </cell>
          <cell r="T22" t="str">
            <v/>
          </cell>
          <cell r="U22" t="str">
            <v/>
          </cell>
          <cell r="V22" t="str">
            <v/>
          </cell>
          <cell r="W22" t="str">
            <v/>
          </cell>
          <cell r="X22" t="str">
            <v/>
          </cell>
          <cell r="Y22" t="str">
            <v>1300100211</v>
          </cell>
          <cell r="Z22" t="str">
            <v>JMK1</v>
          </cell>
          <cell r="AA22" t="str">
            <v>6975925241231</v>
          </cell>
          <cell r="AB22">
            <v>37</v>
          </cell>
          <cell r="AC22">
            <v>36</v>
          </cell>
          <cell r="AD22">
            <v>15</v>
          </cell>
          <cell r="AE22">
            <v>19980</v>
          </cell>
          <cell r="AF22" t="str">
            <v>cm³</v>
          </cell>
          <cell r="AG22">
            <v>4.15</v>
          </cell>
          <cell r="AH22" t="str">
            <v>kg</v>
          </cell>
          <cell r="AI22">
            <v>2382.89</v>
          </cell>
          <cell r="AJ22" t="str">
            <v>9031499000</v>
          </cell>
          <cell r="AK22" t="str">
            <v>4PCS/CTN,17.85KGS/CTN,Size:62*45*36cm, 出口卢森堡单价:2615.64USD</v>
          </cell>
        </row>
        <row r="23">
          <cell r="A23">
            <v>1300100194</v>
          </cell>
          <cell r="B23" t="str">
            <v>三维扫描仪Eagle JMK1</v>
          </cell>
          <cell r="C23" t="str">
            <v>3D Scanner Eagle JMK1</v>
          </cell>
          <cell r="D23" t="str">
            <v>台</v>
          </cell>
          <cell r="E23" t="str">
            <v>6975925241170</v>
          </cell>
          <cell r="F23" t="str">
            <v>空间扫描仪JMK1 MAX款(4规)</v>
          </cell>
          <cell r="G23" t="str">
            <v>3DMakerpro</v>
          </cell>
          <cell r="H23" t="str">
            <v>三维扫描仪-JMK1</v>
          </cell>
          <cell r="I23" t="str">
            <v>否</v>
          </cell>
          <cell r="J23" t="str">
            <v>否</v>
          </cell>
          <cell r="K23" t="str">
            <v>深圳积木易搭科技技术有限公司</v>
          </cell>
          <cell r="L23" t="str">
            <v/>
          </cell>
          <cell r="M23" t="str">
            <v>2024-11-20 09:07:15</v>
          </cell>
          <cell r="N23" t="str">
            <v>2025-04-29 11:28:33</v>
          </cell>
          <cell r="O23" t="str">
            <v>单涛</v>
          </cell>
          <cell r="P23" t="str">
            <v>单涛</v>
          </cell>
          <cell r="Q23" t="str">
            <v/>
          </cell>
          <cell r="R23" t="str">
            <v>否</v>
          </cell>
          <cell r="S23" t="str">
            <v>202505起停用</v>
          </cell>
          <cell r="T23" t="str">
            <v/>
          </cell>
          <cell r="U23" t="str">
            <v/>
          </cell>
          <cell r="V23" t="str">
            <v/>
          </cell>
          <cell r="W23" t="str">
            <v/>
          </cell>
          <cell r="X23" t="str">
            <v/>
          </cell>
          <cell r="Y23" t="str">
            <v>1300100194</v>
          </cell>
          <cell r="Z23" t="str">
            <v>JMK1</v>
          </cell>
          <cell r="AA23" t="str">
            <v>6975925241170</v>
          </cell>
          <cell r="AB23">
            <v>37</v>
          </cell>
          <cell r="AC23">
            <v>36</v>
          </cell>
          <cell r="AD23">
            <v>15</v>
          </cell>
          <cell r="AE23">
            <v>19980</v>
          </cell>
          <cell r="AF23" t="str">
            <v>cm³</v>
          </cell>
          <cell r="AG23">
            <v>4.15</v>
          </cell>
          <cell r="AH23" t="str">
            <v>kg</v>
          </cell>
          <cell r="AI23">
            <v>2184.05</v>
          </cell>
          <cell r="AJ23" t="str">
            <v>9031499000</v>
          </cell>
          <cell r="AK23" t="str">
            <v>4PCS/CTN,17.85KGS/CTN,Size:62*45*36cm, 
出口卢森堡单价:2397.39USD</v>
          </cell>
        </row>
        <row r="24">
          <cell r="A24">
            <v>1300100212</v>
          </cell>
          <cell r="B24" t="str">
            <v>三维扫描仪Eagle JMK2 RTK</v>
          </cell>
          <cell r="C24" t="str">
            <v>3D Scanner Eagle JMK2 RTK</v>
          </cell>
          <cell r="D24" t="str">
            <v>台</v>
          </cell>
          <cell r="E24" t="str">
            <v>6975925241248</v>
          </cell>
          <cell r="F24" t="str">
            <v>空间扫描仪JMK2 基础款(4规) RTK</v>
          </cell>
          <cell r="G24" t="str">
            <v>3DMakerpro</v>
          </cell>
          <cell r="H24" t="str">
            <v>三维扫描仪-JMK2</v>
          </cell>
          <cell r="I24" t="str">
            <v>否</v>
          </cell>
          <cell r="J24" t="str">
            <v>否</v>
          </cell>
          <cell r="K24" t="str">
            <v>深圳积木易搭科技技术有限公司</v>
          </cell>
          <cell r="L24" t="str">
            <v/>
          </cell>
          <cell r="M24" t="str">
            <v>2025-02-19 15:34:00</v>
          </cell>
          <cell r="N24" t="str">
            <v>2025-03-20 14:53:39</v>
          </cell>
          <cell r="O24" t="str">
            <v>单涛</v>
          </cell>
          <cell r="P24" t="str">
            <v>单涛</v>
          </cell>
          <cell r="Q24" t="str">
            <v/>
          </cell>
          <cell r="R24" t="str">
            <v>否</v>
          </cell>
          <cell r="S24" t="str">
            <v/>
          </cell>
          <cell r="T24" t="str">
            <v/>
          </cell>
          <cell r="U24" t="str">
            <v/>
          </cell>
          <cell r="V24" t="str">
            <v/>
          </cell>
          <cell r="W24" t="str">
            <v/>
          </cell>
          <cell r="X24" t="str">
            <v/>
          </cell>
          <cell r="Y24" t="str">
            <v>1300100212</v>
          </cell>
          <cell r="Z24" t="str">
            <v>JMK2</v>
          </cell>
          <cell r="AA24" t="str">
            <v>6975925241248</v>
          </cell>
          <cell r="AB24">
            <v>37</v>
          </cell>
          <cell r="AC24">
            <v>36</v>
          </cell>
          <cell r="AD24">
            <v>15</v>
          </cell>
          <cell r="AE24">
            <v>19980</v>
          </cell>
          <cell r="AF24" t="str">
            <v>cm³</v>
          </cell>
          <cell r="AG24">
            <v>4.07</v>
          </cell>
          <cell r="AH24" t="str">
            <v>kg</v>
          </cell>
          <cell r="AI24">
            <v>1907.89</v>
          </cell>
          <cell r="AJ24" t="str">
            <v>9031499000</v>
          </cell>
          <cell r="AK24" t="str">
            <v>4PCS/CTN,17.53KGS/CTN,Size:62*45*36cm, 出口卢森堡单价:2094.25USD</v>
          </cell>
        </row>
        <row r="25">
          <cell r="A25">
            <v>1300100203</v>
          </cell>
          <cell r="B25" t="str">
            <v>三维扫描仪Eagle JMK2</v>
          </cell>
          <cell r="C25" t="str">
            <v>3D Scanner Eagle JMK2</v>
          </cell>
          <cell r="D25" t="str">
            <v>台</v>
          </cell>
          <cell r="E25" t="str">
            <v>6975925241712</v>
          </cell>
          <cell r="F25" t="str">
            <v>空间扫描仪JMK2 基础款(4规)</v>
          </cell>
          <cell r="G25" t="str">
            <v>3DMakerpro</v>
          </cell>
          <cell r="H25" t="str">
            <v>三维扫描仪-JMK2</v>
          </cell>
          <cell r="I25" t="str">
            <v>否</v>
          </cell>
          <cell r="J25" t="str">
            <v>否</v>
          </cell>
          <cell r="K25" t="str">
            <v>深圳积木易搭科技技术有限公司</v>
          </cell>
          <cell r="L25" t="str">
            <v/>
          </cell>
          <cell r="M25" t="str">
            <v>2024-11-26 09:42:06</v>
          </cell>
          <cell r="N25" t="str">
            <v>2025-04-29 11:28:26</v>
          </cell>
          <cell r="O25" t="str">
            <v>单涛</v>
          </cell>
          <cell r="P25" t="str">
            <v>单涛</v>
          </cell>
          <cell r="Q25" t="str">
            <v/>
          </cell>
          <cell r="R25" t="str">
            <v>否</v>
          </cell>
          <cell r="S25" t="str">
            <v>202505起停用</v>
          </cell>
          <cell r="T25" t="str">
            <v/>
          </cell>
          <cell r="U25" t="str">
            <v/>
          </cell>
          <cell r="V25" t="str">
            <v/>
          </cell>
          <cell r="W25" t="str">
            <v/>
          </cell>
          <cell r="X25" t="str">
            <v/>
          </cell>
          <cell r="Y25" t="str">
            <v>1300100203</v>
          </cell>
          <cell r="Z25" t="str">
            <v>JMK2</v>
          </cell>
          <cell r="AA25" t="str">
            <v>6975925241712</v>
          </cell>
          <cell r="AB25">
            <v>37</v>
          </cell>
          <cell r="AC25">
            <v>36</v>
          </cell>
          <cell r="AD25">
            <v>15</v>
          </cell>
          <cell r="AE25">
            <v>19980</v>
          </cell>
          <cell r="AF25" t="str">
            <v>cm³</v>
          </cell>
          <cell r="AG25">
            <v>4</v>
          </cell>
          <cell r="AH25" t="str">
            <v>kg</v>
          </cell>
          <cell r="AI25">
            <v>1709.05</v>
          </cell>
          <cell r="AJ25" t="str">
            <v>9031499000</v>
          </cell>
          <cell r="AK25" t="str">
            <v>4PCS/CTN,17.25KGS/CTN,Size:62*45*36cm, 
出口卢森堡单价:1875.99USD</v>
          </cell>
        </row>
        <row r="26">
          <cell r="A26">
            <v>1300100217</v>
          </cell>
          <cell r="B26" t="str">
            <v>三维扫描仪JMK1 RTK(4规)</v>
          </cell>
          <cell r="C26" t="str">
            <v>3D Scanner JMK1 RTK</v>
          </cell>
          <cell r="D26" t="str">
            <v>台</v>
          </cell>
          <cell r="E26" t="str">
            <v>6975925241255</v>
          </cell>
          <cell r="F26" t="str">
            <v>主机+手柄/JMK1(不带RTK天线)</v>
          </cell>
          <cell r="G26" t="str">
            <v>3DMakerpro</v>
          </cell>
          <cell r="H26" t="str">
            <v>三维扫描仪-JMK1</v>
          </cell>
          <cell r="I26" t="str">
            <v>否</v>
          </cell>
          <cell r="J26" t="str">
            <v>否</v>
          </cell>
          <cell r="K26" t="str">
            <v>深圳积木易搭科技技术有限公司</v>
          </cell>
          <cell r="L26" t="str">
            <v/>
          </cell>
          <cell r="M26" t="str">
            <v>2025-03-20 14:48:53</v>
          </cell>
          <cell r="N26" t="str">
            <v>2025-04-29 11:28:15</v>
          </cell>
          <cell r="O26" t="str">
            <v>单涛</v>
          </cell>
          <cell r="P26" t="str">
            <v>单涛</v>
          </cell>
          <cell r="Q26" t="str">
            <v/>
          </cell>
          <cell r="R26" t="str">
            <v>否</v>
          </cell>
          <cell r="S26" t="str">
            <v>202505起停用</v>
          </cell>
          <cell r="T26" t="str">
            <v/>
          </cell>
          <cell r="U26" t="str">
            <v/>
          </cell>
          <cell r="V26" t="str">
            <v/>
          </cell>
          <cell r="W26" t="str">
            <v/>
          </cell>
          <cell r="X26" t="str">
            <v/>
          </cell>
          <cell r="Y26" t="str">
            <v>1300100217</v>
          </cell>
          <cell r="Z26" t="str">
            <v>JMK1</v>
          </cell>
          <cell r="AA26" t="str">
            <v>6975925241255</v>
          </cell>
          <cell r="AB26">
            <v>37</v>
          </cell>
          <cell r="AC26">
            <v>36</v>
          </cell>
          <cell r="AD26">
            <v>15</v>
          </cell>
          <cell r="AE26">
            <v>19980</v>
          </cell>
          <cell r="AF26" t="str">
            <v>cm³</v>
          </cell>
          <cell r="AG26">
            <v>4.1</v>
          </cell>
          <cell r="AH26" t="str">
            <v>kg</v>
          </cell>
          <cell r="AI26" t="str">
            <v/>
          </cell>
          <cell r="AJ26" t="str">
            <v/>
          </cell>
          <cell r="AK26" t="str">
            <v/>
          </cell>
        </row>
        <row r="27">
          <cell r="A27">
            <v>1300100218</v>
          </cell>
          <cell r="B27" t="str">
            <v>三维扫描仪JMK2 RTK(4规)</v>
          </cell>
          <cell r="C27" t="str">
            <v>3D Scanner JMK2 RTK</v>
          </cell>
          <cell r="D27" t="str">
            <v>台</v>
          </cell>
          <cell r="E27" t="str">
            <v>6975925241262</v>
          </cell>
          <cell r="F27" t="str">
            <v>主机+手柄/JMK2(不带RTK天线)</v>
          </cell>
          <cell r="G27" t="str">
            <v>3DMakerpro</v>
          </cell>
          <cell r="H27" t="str">
            <v>三维扫描仪-JMK2</v>
          </cell>
          <cell r="I27" t="str">
            <v>否</v>
          </cell>
          <cell r="J27" t="str">
            <v>否</v>
          </cell>
          <cell r="K27" t="str">
            <v>深圳积木易搭科技技术有限公司</v>
          </cell>
          <cell r="L27" t="str">
            <v/>
          </cell>
          <cell r="M27" t="str">
            <v>2025-03-20 15:01:20</v>
          </cell>
          <cell r="N27" t="str">
            <v>2025-04-29 11:27:49</v>
          </cell>
          <cell r="O27" t="str">
            <v>单涛</v>
          </cell>
          <cell r="P27" t="str">
            <v>单涛</v>
          </cell>
          <cell r="Q27" t="str">
            <v/>
          </cell>
          <cell r="R27" t="str">
            <v>否</v>
          </cell>
          <cell r="S27" t="str">
            <v>202505起停用</v>
          </cell>
          <cell r="T27" t="str">
            <v/>
          </cell>
          <cell r="U27" t="str">
            <v/>
          </cell>
          <cell r="V27" t="str">
            <v/>
          </cell>
          <cell r="W27" t="str">
            <v/>
          </cell>
          <cell r="X27" t="str">
            <v/>
          </cell>
          <cell r="Y27" t="str">
            <v>1300100218</v>
          </cell>
          <cell r="Z27" t="str">
            <v>JMK2</v>
          </cell>
          <cell r="AA27" t="str">
            <v>6975925241262</v>
          </cell>
          <cell r="AB27" t="str">
            <v/>
          </cell>
          <cell r="AC27" t="str">
            <v/>
          </cell>
          <cell r="AD27" t="str">
            <v/>
          </cell>
          <cell r="AE27" t="str">
            <v/>
          </cell>
          <cell r="AF27" t="str">
            <v/>
          </cell>
          <cell r="AG27" t="str">
            <v/>
          </cell>
          <cell r="AH27" t="str">
            <v/>
          </cell>
          <cell r="AI27" t="str">
            <v/>
          </cell>
          <cell r="AJ27" t="str">
            <v/>
          </cell>
          <cell r="AK27" t="str">
            <v/>
          </cell>
        </row>
        <row r="28">
          <cell r="A28">
            <v>1300100205</v>
          </cell>
          <cell r="B28" t="str">
            <v>钢化膜套装</v>
          </cell>
          <cell r="C28" t="str">
            <v>Tempered Glass</v>
          </cell>
          <cell r="D28" t="str">
            <v>张</v>
          </cell>
          <cell r="E28" t="str">
            <v>6975925241187</v>
          </cell>
          <cell r="F28" t="str">
            <v>空扫-钢化膜套装</v>
          </cell>
          <cell r="G28" t="str">
            <v>3DMakerpro</v>
          </cell>
          <cell r="H28" t="str">
            <v>三维扫描仪备品备件</v>
          </cell>
          <cell r="I28" t="str">
            <v>否</v>
          </cell>
          <cell r="J28" t="str">
            <v>否</v>
          </cell>
          <cell r="K28" t="str">
            <v>深圳积木易搭科技技术有限公司</v>
          </cell>
          <cell r="L28" t="str">
            <v/>
          </cell>
          <cell r="M28" t="str">
            <v>2025-02-11 18:06:00</v>
          </cell>
          <cell r="N28" t="str">
            <v>2025-04-07 09:52:42</v>
          </cell>
          <cell r="O28" t="str">
            <v>单涛</v>
          </cell>
          <cell r="P28" t="str">
            <v>单涛</v>
          </cell>
          <cell r="Q28" t="str">
            <v/>
          </cell>
          <cell r="R28" t="str">
            <v>否</v>
          </cell>
          <cell r="S28" t="str">
            <v>104.6x70.6x0.3mm/带背胶</v>
          </cell>
          <cell r="T28" t="str">
            <v/>
          </cell>
          <cell r="U28" t="str">
            <v/>
          </cell>
          <cell r="V28" t="str">
            <v/>
          </cell>
          <cell r="W28" t="str">
            <v/>
          </cell>
          <cell r="X28" t="str">
            <v/>
          </cell>
          <cell r="Y28" t="str">
            <v>1300100205</v>
          </cell>
          <cell r="Z28" t="str">
            <v>-</v>
          </cell>
          <cell r="AA28" t="str">
            <v>6975925241187</v>
          </cell>
          <cell r="AB28">
            <v>18</v>
          </cell>
          <cell r="AC28">
            <v>14.5</v>
          </cell>
          <cell r="AD28">
            <v>2</v>
          </cell>
          <cell r="AE28">
            <v>522</v>
          </cell>
          <cell r="AF28" t="str">
            <v>cm³</v>
          </cell>
          <cell r="AG28">
            <v>0.045</v>
          </cell>
          <cell r="AH28" t="str">
            <v>kg</v>
          </cell>
          <cell r="AI28">
            <v>12.64</v>
          </cell>
          <cell r="AJ28" t="str">
            <v>7020009990</v>
          </cell>
          <cell r="AK28" t="str">
            <v>出口卢森堡单价:13.87USD
104.6x70.6x0.3mm/带背胶</v>
          </cell>
        </row>
        <row r="29">
          <cell r="A29">
            <v>1050100021</v>
          </cell>
          <cell r="B29" t="str">
            <v>三脚架</v>
          </cell>
          <cell r="C29" t="str">
            <v>Manual Tripod</v>
          </cell>
          <cell r="D29" t="str">
            <v>个</v>
          </cell>
          <cell r="E29" t="str">
            <v>6975925241194</v>
          </cell>
          <cell r="F29" t="str">
            <v>空扫-三脚架</v>
          </cell>
          <cell r="G29" t="str">
            <v>QINGZHUANGSHIDAI</v>
          </cell>
          <cell r="H29" t="str">
            <v>三维扫描仪备品备件</v>
          </cell>
          <cell r="I29" t="str">
            <v>否</v>
          </cell>
          <cell r="J29" t="str">
            <v>否</v>
          </cell>
          <cell r="K29" t="str">
            <v>深圳积木易搭科技技术有限公司</v>
          </cell>
          <cell r="L29" t="str">
            <v/>
          </cell>
          <cell r="M29" t="str">
            <v>2025-03-14 11:28:24</v>
          </cell>
          <cell r="N29" t="str">
            <v>2025-04-18 09:46:14</v>
          </cell>
          <cell r="O29" t="str">
            <v>单涛</v>
          </cell>
          <cell r="P29" t="str">
            <v>单涛</v>
          </cell>
          <cell r="Q29" t="str">
            <v/>
          </cell>
          <cell r="R29" t="str">
            <v>否</v>
          </cell>
          <cell r="S29" t="str">
            <v/>
          </cell>
          <cell r="T29" t="str">
            <v/>
          </cell>
          <cell r="U29" t="str">
            <v/>
          </cell>
          <cell r="V29" t="str">
            <v/>
          </cell>
          <cell r="W29" t="str">
            <v/>
          </cell>
          <cell r="X29" t="str">
            <v/>
          </cell>
          <cell r="Y29" t="str">
            <v>1050100021</v>
          </cell>
          <cell r="Z29" t="str">
            <v>-</v>
          </cell>
          <cell r="AA29" t="str">
            <v>6975925241194</v>
          </cell>
          <cell r="AB29">
            <v>49.5</v>
          </cell>
          <cell r="AC29">
            <v>12</v>
          </cell>
          <cell r="AD29">
            <v>12</v>
          </cell>
          <cell r="AE29">
            <v>7128</v>
          </cell>
          <cell r="AF29" t="str">
            <v>cm³</v>
          </cell>
          <cell r="AG29">
            <v>1.95</v>
          </cell>
          <cell r="AH29" t="str">
            <v>kg</v>
          </cell>
          <cell r="AI29">
            <v>45.89</v>
          </cell>
          <cell r="AJ29" t="str">
            <v>9620009000</v>
          </cell>
          <cell r="AK29" t="str">
            <v>出口卢森堡单价:50.37USD
滑轮脚架+三脚架</v>
          </cell>
        </row>
        <row r="30">
          <cell r="A30">
            <v>1300100207</v>
          </cell>
          <cell r="B30" t="str">
            <v>车顶吸盘安装套装</v>
          </cell>
          <cell r="C30" t="str">
            <v>Automotive Rooftop Mount</v>
          </cell>
          <cell r="D30" t="str">
            <v>个</v>
          </cell>
          <cell r="E30" t="str">
            <v>6975925241200</v>
          </cell>
          <cell r="F30" t="str">
            <v>空扫-车顶吸盘安装套装</v>
          </cell>
          <cell r="G30" t="str">
            <v>3DMakerpro</v>
          </cell>
          <cell r="H30" t="str">
            <v>三维扫描仪备品备件</v>
          </cell>
          <cell r="I30" t="str">
            <v>否</v>
          </cell>
          <cell r="J30" t="str">
            <v>否</v>
          </cell>
          <cell r="K30" t="str">
            <v>深圳积木易搭科技技术有限公司</v>
          </cell>
          <cell r="L30" t="str">
            <v/>
          </cell>
          <cell r="M30" t="str">
            <v>2025-02-11 18:17:29</v>
          </cell>
          <cell r="N30" t="str">
            <v>2025-06-05 18:10:10</v>
          </cell>
          <cell r="O30" t="str">
            <v>单涛</v>
          </cell>
          <cell r="P30" t="str">
            <v>单涛</v>
          </cell>
          <cell r="Q30" t="str">
            <v/>
          </cell>
          <cell r="R30" t="str">
            <v>否</v>
          </cell>
          <cell r="S30" t="str">
            <v>铝合金型材支架+4个吸盘/268x193x109mm</v>
          </cell>
          <cell r="T30" t="str">
            <v/>
          </cell>
          <cell r="U30" t="str">
            <v/>
          </cell>
          <cell r="V30" t="str">
            <v/>
          </cell>
          <cell r="W30" t="str">
            <v/>
          </cell>
          <cell r="X30" t="str">
            <v/>
          </cell>
          <cell r="Y30" t="str">
            <v>1300100207</v>
          </cell>
          <cell r="Z30" t="str">
            <v>-</v>
          </cell>
          <cell r="AA30" t="str">
            <v>6975925241200</v>
          </cell>
          <cell r="AB30">
            <v>31</v>
          </cell>
          <cell r="AC30">
            <v>22</v>
          </cell>
          <cell r="AD30">
            <v>12</v>
          </cell>
          <cell r="AE30">
            <v>8184</v>
          </cell>
          <cell r="AF30" t="str">
            <v>cm³</v>
          </cell>
          <cell r="AG30">
            <v>1.4</v>
          </cell>
          <cell r="AH30" t="str">
            <v>kg</v>
          </cell>
          <cell r="AI30">
            <v>198.84</v>
          </cell>
          <cell r="AJ30" t="str">
            <v>9031900090</v>
          </cell>
          <cell r="AK30" t="str">
            <v>9PCS/CTN,Size:62*45*36cm, 
出口卢森堡单价:218.26USD
铝合金型材支架+4个吸盘/268x193x109mm</v>
          </cell>
        </row>
        <row r="31">
          <cell r="A31">
            <v>1300100208</v>
          </cell>
          <cell r="B31" t="str">
            <v>背架套装</v>
          </cell>
          <cell r="C31" t="str">
            <v>Backpack Kit</v>
          </cell>
          <cell r="D31" t="str">
            <v>个</v>
          </cell>
          <cell r="E31" t="str">
            <v>6975925241217</v>
          </cell>
          <cell r="F31" t="str">
            <v>空扫-背架套装</v>
          </cell>
          <cell r="G31" t="str">
            <v>3DMakerpro</v>
          </cell>
          <cell r="H31" t="str">
            <v>三维扫描仪备品备件</v>
          </cell>
          <cell r="I31" t="str">
            <v>否</v>
          </cell>
          <cell r="J31" t="str">
            <v>否</v>
          </cell>
          <cell r="K31" t="str">
            <v>深圳积木易搭科技技术有限公司</v>
          </cell>
          <cell r="L31" t="str">
            <v/>
          </cell>
          <cell r="M31" t="str">
            <v>2025-02-11 18:18:27</v>
          </cell>
          <cell r="N31" t="str">
            <v>2025-03-26 11:38:43</v>
          </cell>
          <cell r="O31" t="str">
            <v>单涛</v>
          </cell>
          <cell r="P31" t="str">
            <v>单涛</v>
          </cell>
          <cell r="Q31" t="str">
            <v/>
          </cell>
          <cell r="R31" t="str">
            <v>否</v>
          </cell>
          <cell r="S31" t="str">
            <v>铝合金/含背带，可折叠</v>
          </cell>
          <cell r="T31" t="str">
            <v/>
          </cell>
          <cell r="U31" t="str">
            <v/>
          </cell>
          <cell r="V31" t="str">
            <v/>
          </cell>
          <cell r="W31" t="str">
            <v/>
          </cell>
          <cell r="X31" t="str">
            <v/>
          </cell>
          <cell r="Y31" t="str">
            <v>1300100208</v>
          </cell>
          <cell r="Z31" t="str">
            <v>-</v>
          </cell>
          <cell r="AA31" t="str">
            <v>6975925241217</v>
          </cell>
          <cell r="AB31" t="str">
            <v/>
          </cell>
          <cell r="AC31" t="str">
            <v/>
          </cell>
          <cell r="AD31" t="str">
            <v/>
          </cell>
          <cell r="AE31" t="str">
            <v/>
          </cell>
          <cell r="AF31" t="str">
            <v/>
          </cell>
          <cell r="AG31" t="str">
            <v/>
          </cell>
          <cell r="AH31" t="str">
            <v/>
          </cell>
          <cell r="AI31">
            <v>464.84</v>
          </cell>
          <cell r="AJ31" t="str">
            <v>9031900090</v>
          </cell>
          <cell r="AK31" t="str">
            <v>出口卢森堡单价:510.24USD
铝合金/含背带，可折叠</v>
          </cell>
        </row>
        <row r="32">
          <cell r="A32">
            <v>1300100209</v>
          </cell>
          <cell r="B32" t="str">
            <v>自行车支架套装</v>
          </cell>
          <cell r="C32" t="str">
            <v>Bicycle Kit</v>
          </cell>
          <cell r="D32" t="str">
            <v>个</v>
          </cell>
          <cell r="E32" t="str">
            <v>6975925241224</v>
          </cell>
          <cell r="F32" t="str">
            <v>空扫-自行车支架套装</v>
          </cell>
          <cell r="G32" t="str">
            <v>3DMakerpro</v>
          </cell>
          <cell r="H32" t="str">
            <v>三维扫描仪备品备件</v>
          </cell>
          <cell r="I32" t="str">
            <v>否</v>
          </cell>
          <cell r="J32" t="str">
            <v>否</v>
          </cell>
          <cell r="K32" t="str">
            <v>深圳积木易搭科技技术有限公司</v>
          </cell>
          <cell r="L32" t="str">
            <v/>
          </cell>
          <cell r="M32" t="str">
            <v>2025-02-11 18:19:19</v>
          </cell>
          <cell r="N32" t="str">
            <v>2025-05-14 11:44:33</v>
          </cell>
          <cell r="O32" t="str">
            <v>单涛</v>
          </cell>
          <cell r="P32" t="str">
            <v>单涛</v>
          </cell>
          <cell r="Q32" t="str">
            <v/>
          </cell>
          <cell r="R32" t="str">
            <v>否</v>
          </cell>
          <cell r="S32" t="str">
            <v>铝合金/160x104x76mm</v>
          </cell>
          <cell r="T32" t="str">
            <v/>
          </cell>
          <cell r="U32" t="str">
            <v/>
          </cell>
          <cell r="V32" t="str">
            <v/>
          </cell>
          <cell r="W32" t="str">
            <v/>
          </cell>
          <cell r="X32" t="str">
            <v/>
          </cell>
          <cell r="Y32" t="str">
            <v>1300100209</v>
          </cell>
          <cell r="Z32" t="str">
            <v>-</v>
          </cell>
          <cell r="AA32" t="str">
            <v>6975925241224</v>
          </cell>
          <cell r="AB32">
            <v>18</v>
          </cell>
          <cell r="AC32">
            <v>13</v>
          </cell>
          <cell r="AD32">
            <v>6</v>
          </cell>
          <cell r="AE32">
            <v>1404</v>
          </cell>
          <cell r="AF32" t="str">
            <v>cm³</v>
          </cell>
          <cell r="AG32">
            <v>0.46</v>
          </cell>
          <cell r="AH32" t="str">
            <v>kg</v>
          </cell>
          <cell r="AI32">
            <v>45.89</v>
          </cell>
          <cell r="AJ32" t="str">
            <v>9031900090</v>
          </cell>
          <cell r="AK32" t="str">
            <v>出口卢森堡单价:50.37USD
铝合金/160x104x76mm</v>
          </cell>
        </row>
        <row r="33">
          <cell r="A33">
            <v>1300100210</v>
          </cell>
          <cell r="B33" t="str">
            <v>RTK天线套装</v>
          </cell>
          <cell r="C33" t="str">
            <v>RTK Antenna &amp; Signal Module</v>
          </cell>
          <cell r="D33" t="str">
            <v>个</v>
          </cell>
          <cell r="E33" t="str">
            <v/>
          </cell>
          <cell r="F33" t="str">
            <v>空扫-RTK天线套装</v>
          </cell>
          <cell r="G33" t="str">
            <v>3DMakerpro</v>
          </cell>
          <cell r="H33" t="str">
            <v>三维扫描仪备品备件</v>
          </cell>
          <cell r="I33" t="str">
            <v>否</v>
          </cell>
          <cell r="J33" t="str">
            <v>否</v>
          </cell>
          <cell r="K33" t="str">
            <v>深圳积木易搭科技技术有限公司</v>
          </cell>
          <cell r="L33" t="str">
            <v/>
          </cell>
          <cell r="M33" t="str">
            <v>2025-02-11 18:20:37</v>
          </cell>
          <cell r="N33" t="str">
            <v>2025-03-20 14:57:09</v>
          </cell>
          <cell r="O33" t="str">
            <v>单涛</v>
          </cell>
          <cell r="P33" t="str">
            <v>单涛</v>
          </cell>
          <cell r="Q33" t="str">
            <v/>
          </cell>
          <cell r="R33" t="str">
            <v>否</v>
          </cell>
          <cell r="S33" t="str">
            <v/>
          </cell>
          <cell r="T33" t="str">
            <v/>
          </cell>
          <cell r="U33" t="str">
            <v/>
          </cell>
          <cell r="V33" t="str">
            <v/>
          </cell>
          <cell r="W33" t="str">
            <v/>
          </cell>
          <cell r="X33" t="str">
            <v/>
          </cell>
          <cell r="Y33" t="str">
            <v>1300100210</v>
          </cell>
          <cell r="Z33" t="str">
            <v>-</v>
          </cell>
          <cell r="AA33" t="str">
            <v/>
          </cell>
          <cell r="AB33" t="str">
            <v/>
          </cell>
          <cell r="AC33" t="str">
            <v/>
          </cell>
          <cell r="AD33" t="str">
            <v/>
          </cell>
          <cell r="AE33" t="str">
            <v/>
          </cell>
          <cell r="AF33" t="str">
            <v/>
          </cell>
          <cell r="AG33" t="str">
            <v/>
          </cell>
          <cell r="AH33" t="str">
            <v/>
          </cell>
          <cell r="AI33">
            <v>198.84</v>
          </cell>
          <cell r="AJ33" t="str">
            <v/>
          </cell>
          <cell r="AK33" t="str">
            <v>出口卢森堡单价:218.26USD</v>
          </cell>
        </row>
        <row r="34">
          <cell r="A34">
            <v>1300100201</v>
          </cell>
          <cell r="B34" t="str">
            <v>三维扫描仪ScanMaster2</v>
          </cell>
          <cell r="C34" t="str">
            <v>3D Scanner ScanMaster2</v>
          </cell>
          <cell r="D34" t="str">
            <v>台</v>
          </cell>
          <cell r="E34" t="str">
            <v/>
          </cell>
          <cell r="F34" t="str">
            <v>三维扫描仪ScanMaster2</v>
          </cell>
          <cell r="G34" t="str">
            <v>3DMakerpro</v>
          </cell>
          <cell r="H34" t="str">
            <v>三维扫描仪-JMM5</v>
          </cell>
          <cell r="I34" t="str">
            <v>否</v>
          </cell>
          <cell r="J34" t="str">
            <v>否</v>
          </cell>
          <cell r="K34" t="str">
            <v>深圳积木易搭科技技术有限公司</v>
          </cell>
          <cell r="L34" t="str">
            <v/>
          </cell>
          <cell r="M34" t="str">
            <v>2024-11-01 16:30:00</v>
          </cell>
          <cell r="N34" t="str">
            <v>2025-01-13 10:13:24</v>
          </cell>
          <cell r="O34" t="str">
            <v>单涛</v>
          </cell>
          <cell r="P34" t="str">
            <v>单涛</v>
          </cell>
          <cell r="Q34" t="str">
            <v/>
          </cell>
          <cell r="R34" t="str">
            <v>否</v>
          </cell>
          <cell r="S34" t="str">
            <v/>
          </cell>
          <cell r="T34" t="str">
            <v/>
          </cell>
          <cell r="U34" t="str">
            <v/>
          </cell>
          <cell r="V34" t="str">
            <v/>
          </cell>
          <cell r="W34" t="str">
            <v/>
          </cell>
          <cell r="X34" t="str">
            <v/>
          </cell>
          <cell r="Y34" t="str">
            <v>1300100201</v>
          </cell>
          <cell r="Z34" t="str">
            <v>JMM5</v>
          </cell>
          <cell r="AA34" t="str">
            <v/>
          </cell>
          <cell r="AB34">
            <v>35</v>
          </cell>
          <cell r="AC34">
            <v>31</v>
          </cell>
          <cell r="AD34">
            <v>22</v>
          </cell>
          <cell r="AE34">
            <v>23870</v>
          </cell>
          <cell r="AF34" t="str">
            <v>cm³</v>
          </cell>
          <cell r="AG34">
            <v>4.1</v>
          </cell>
          <cell r="AH34" t="str">
            <v>kg</v>
          </cell>
          <cell r="AI34" t="str">
            <v/>
          </cell>
          <cell r="AJ34" t="str">
            <v>9031499000</v>
          </cell>
          <cell r="AK34" t="str">
            <v>主机：3PCS/CTN,13,4kgs,Size:62*45*36cm
灯组：2PCS/PKG,2.45kgs,27*27*20cm</v>
          </cell>
        </row>
        <row r="35">
          <cell r="A35">
            <v>1300100202</v>
          </cell>
          <cell r="B35" t="str">
            <v>三维扫描仪ScanMaster2(定制)</v>
          </cell>
          <cell r="C35" t="str">
            <v>3D Scanner ScanMaster2</v>
          </cell>
          <cell r="D35" t="str">
            <v>台</v>
          </cell>
          <cell r="E35" t="str">
            <v/>
          </cell>
          <cell r="F35" t="str">
            <v>三维扫描仪ScanMaster2(定制)</v>
          </cell>
          <cell r="G35" t="str">
            <v>3DMakerpro</v>
          </cell>
          <cell r="H35" t="str">
            <v>三维扫描仪-JMM5</v>
          </cell>
          <cell r="I35" t="str">
            <v>否</v>
          </cell>
          <cell r="J35" t="str">
            <v>否</v>
          </cell>
          <cell r="K35" t="str">
            <v>深圳积木易搭科技技术有限公司</v>
          </cell>
          <cell r="L35" t="str">
            <v/>
          </cell>
          <cell r="M35" t="str">
            <v>2025-02-14 10:40:08</v>
          </cell>
          <cell r="N35" t="str">
            <v>2025-02-14 10:40:31</v>
          </cell>
          <cell r="O35" t="str">
            <v>单涛</v>
          </cell>
          <cell r="P35" t="str">
            <v>单涛</v>
          </cell>
          <cell r="Q35" t="str">
            <v/>
          </cell>
          <cell r="R35" t="str">
            <v>否</v>
          </cell>
          <cell r="S35" t="str">
            <v/>
          </cell>
          <cell r="T35" t="str">
            <v/>
          </cell>
          <cell r="U35" t="str">
            <v/>
          </cell>
          <cell r="V35" t="str">
            <v/>
          </cell>
          <cell r="W35" t="str">
            <v/>
          </cell>
          <cell r="X35" t="str">
            <v/>
          </cell>
          <cell r="Y35" t="str">
            <v>1300100202</v>
          </cell>
          <cell r="Z35" t="str">
            <v>JMM5</v>
          </cell>
          <cell r="AA35" t="str">
            <v/>
          </cell>
          <cell r="AB35" t="str">
            <v/>
          </cell>
          <cell r="AC35" t="str">
            <v/>
          </cell>
          <cell r="AD35" t="str">
            <v/>
          </cell>
          <cell r="AE35" t="str">
            <v/>
          </cell>
          <cell r="AF35" t="str">
            <v/>
          </cell>
          <cell r="AG35" t="str">
            <v/>
          </cell>
          <cell r="AH35" t="str">
            <v/>
          </cell>
          <cell r="AI35" t="str">
            <v/>
          </cell>
          <cell r="AJ35" t="str">
            <v/>
          </cell>
          <cell r="AK35" t="str">
            <v/>
          </cell>
        </row>
        <row r="36">
          <cell r="A36">
            <v>1300100214</v>
          </cell>
          <cell r="B36" t="str">
            <v>三维扫描仪 ScanMaster2 教育版</v>
          </cell>
          <cell r="C36" t="str">
            <v/>
          </cell>
          <cell r="D36" t="str">
            <v>台</v>
          </cell>
          <cell r="E36" t="str">
            <v/>
          </cell>
          <cell r="F36" t="str">
            <v>三维扫描仪 ScanMaster2 教育版</v>
          </cell>
          <cell r="G36" t="str">
            <v>3DMakerpro</v>
          </cell>
          <cell r="H36" t="str">
            <v>三维扫描仪-JMM5</v>
          </cell>
          <cell r="I36" t="str">
            <v>否</v>
          </cell>
          <cell r="J36" t="str">
            <v>否</v>
          </cell>
          <cell r="K36" t="str">
            <v>深圳积木易搭科技技术有限公司</v>
          </cell>
          <cell r="L36" t="str">
            <v/>
          </cell>
          <cell r="M36" t="str">
            <v>2025-03-07 16:30:03</v>
          </cell>
          <cell r="N36" t="str">
            <v>2025-03-07 16:30:03</v>
          </cell>
          <cell r="O36" t="str">
            <v>单涛</v>
          </cell>
          <cell r="P36" t="str">
            <v/>
          </cell>
          <cell r="Q36" t="str">
            <v/>
          </cell>
          <cell r="R36" t="str">
            <v>否</v>
          </cell>
          <cell r="S36" t="str">
            <v/>
          </cell>
          <cell r="T36" t="str">
            <v/>
          </cell>
          <cell r="U36" t="str">
            <v/>
          </cell>
          <cell r="V36" t="str">
            <v/>
          </cell>
          <cell r="W36" t="str">
            <v/>
          </cell>
          <cell r="X36" t="str">
            <v/>
          </cell>
          <cell r="Y36" t="str">
            <v>1300100214</v>
          </cell>
          <cell r="Z36" t="str">
            <v>JMM5</v>
          </cell>
          <cell r="AA36" t="str">
            <v/>
          </cell>
          <cell r="AB36" t="str">
            <v/>
          </cell>
          <cell r="AC36" t="str">
            <v/>
          </cell>
          <cell r="AD36" t="str">
            <v/>
          </cell>
          <cell r="AE36" t="str">
            <v/>
          </cell>
          <cell r="AF36" t="str">
            <v/>
          </cell>
          <cell r="AG36" t="str">
            <v/>
          </cell>
          <cell r="AH36" t="str">
            <v/>
          </cell>
          <cell r="AI36" t="str">
            <v/>
          </cell>
          <cell r="AJ36" t="str">
            <v/>
          </cell>
          <cell r="AK36" t="str">
            <v/>
          </cell>
        </row>
        <row r="37">
          <cell r="A37">
            <v>1300100215</v>
          </cell>
          <cell r="B37" t="str">
            <v>三维扫描仪ScanMaster2 教育版（定制）</v>
          </cell>
          <cell r="C37" t="str">
            <v/>
          </cell>
          <cell r="D37" t="str">
            <v>台</v>
          </cell>
          <cell r="E37" t="str">
            <v/>
          </cell>
          <cell r="F37" t="str">
            <v>三维扫描仪ScanMaster2 教育版（定制）</v>
          </cell>
          <cell r="G37" t="str">
            <v>3DMakerpro</v>
          </cell>
          <cell r="H37" t="str">
            <v>三维扫描仪-JMM5</v>
          </cell>
          <cell r="I37" t="str">
            <v>否</v>
          </cell>
          <cell r="J37" t="str">
            <v>否</v>
          </cell>
          <cell r="K37" t="str">
            <v>深圳积木易搭科技技术有限公司</v>
          </cell>
          <cell r="L37" t="str">
            <v/>
          </cell>
          <cell r="M37" t="str">
            <v>2025-03-07 16:31:27</v>
          </cell>
          <cell r="N37" t="str">
            <v>2025-03-07 16:31:27</v>
          </cell>
          <cell r="O37" t="str">
            <v>单涛</v>
          </cell>
          <cell r="P37" t="str">
            <v/>
          </cell>
          <cell r="Q37" t="str">
            <v/>
          </cell>
          <cell r="R37" t="str">
            <v>否</v>
          </cell>
          <cell r="S37" t="str">
            <v/>
          </cell>
          <cell r="T37" t="str">
            <v/>
          </cell>
          <cell r="U37" t="str">
            <v/>
          </cell>
          <cell r="V37" t="str">
            <v/>
          </cell>
          <cell r="W37" t="str">
            <v/>
          </cell>
          <cell r="X37" t="str">
            <v/>
          </cell>
          <cell r="Y37" t="str">
            <v>1300100215</v>
          </cell>
          <cell r="Z37" t="str">
            <v>JMM5</v>
          </cell>
          <cell r="AA37" t="str">
            <v/>
          </cell>
          <cell r="AB37" t="str">
            <v/>
          </cell>
          <cell r="AC37" t="str">
            <v/>
          </cell>
          <cell r="AD37" t="str">
            <v/>
          </cell>
          <cell r="AE37" t="str">
            <v/>
          </cell>
          <cell r="AF37" t="str">
            <v/>
          </cell>
          <cell r="AG37" t="str">
            <v/>
          </cell>
          <cell r="AH37" t="str">
            <v/>
          </cell>
          <cell r="AI37" t="str">
            <v/>
          </cell>
          <cell r="AJ37" t="str">
            <v/>
          </cell>
          <cell r="AK37" t="str">
            <v/>
          </cell>
        </row>
        <row r="38">
          <cell r="A38">
            <v>1300100216</v>
          </cell>
          <cell r="B38" t="str">
            <v>三维扫描系统MagicBOX-50H</v>
          </cell>
          <cell r="C38" t="str">
            <v/>
          </cell>
          <cell r="D38" t="str">
            <v>台</v>
          </cell>
          <cell r="E38" t="str">
            <v/>
          </cell>
          <cell r="F38" t="str">
            <v>三维扫描系统MagicBOX-50H</v>
          </cell>
          <cell r="G38" t="str">
            <v>3DMakerpro</v>
          </cell>
          <cell r="H38" t="str">
            <v>三维扫描仪-CN</v>
          </cell>
          <cell r="I38" t="str">
            <v>否</v>
          </cell>
          <cell r="J38" t="str">
            <v>否</v>
          </cell>
          <cell r="K38" t="str">
            <v>深圳积木易搭科技技术有限公司</v>
          </cell>
          <cell r="L38" t="str">
            <v/>
          </cell>
          <cell r="M38" t="str">
            <v>2025-03-07 16:33:13</v>
          </cell>
          <cell r="N38" t="str">
            <v>2025-04-25 10:26:10</v>
          </cell>
          <cell r="O38" t="str">
            <v>单涛</v>
          </cell>
          <cell r="P38" t="str">
            <v>单涛</v>
          </cell>
          <cell r="Q38" t="str">
            <v/>
          </cell>
          <cell r="R38" t="str">
            <v>否</v>
          </cell>
          <cell r="S38" t="str">
            <v/>
          </cell>
          <cell r="T38" t="str">
            <v/>
          </cell>
          <cell r="U38" t="str">
            <v/>
          </cell>
          <cell r="V38" t="str">
            <v/>
          </cell>
          <cell r="W38" t="str">
            <v/>
          </cell>
          <cell r="X38" t="str">
            <v/>
          </cell>
          <cell r="Y38" t="str">
            <v>1300100216</v>
          </cell>
          <cell r="Z38" t="str">
            <v>BOX-50H</v>
          </cell>
          <cell r="AA38" t="str">
            <v/>
          </cell>
          <cell r="AB38" t="str">
            <v/>
          </cell>
          <cell r="AC38" t="str">
            <v/>
          </cell>
          <cell r="AD38" t="str">
            <v/>
          </cell>
          <cell r="AE38" t="str">
            <v/>
          </cell>
          <cell r="AF38" t="str">
            <v/>
          </cell>
          <cell r="AG38" t="str">
            <v/>
          </cell>
          <cell r="AH38" t="str">
            <v/>
          </cell>
          <cell r="AI38" t="str">
            <v/>
          </cell>
          <cell r="AJ38" t="str">
            <v/>
          </cell>
          <cell r="AK38" t="str">
            <v/>
          </cell>
        </row>
        <row r="39">
          <cell r="A39">
            <v>1300100204</v>
          </cell>
          <cell r="B39" t="str">
            <v>耳样扫描仪JME2(美欧)</v>
          </cell>
          <cell r="C39" t="str">
            <v>3D Scanner JME2(US/EU)</v>
          </cell>
          <cell r="D39" t="str">
            <v>台</v>
          </cell>
          <cell r="E39" t="str">
            <v/>
          </cell>
          <cell r="F39" t="str">
            <v>耳样扫描仪JME2(美欧)</v>
          </cell>
          <cell r="G39" t="str">
            <v>3DMakerpro</v>
          </cell>
          <cell r="H39" t="str">
            <v>耳样扫描仪-JME2</v>
          </cell>
          <cell r="I39" t="str">
            <v>否</v>
          </cell>
          <cell r="J39" t="str">
            <v>否</v>
          </cell>
          <cell r="K39" t="str">
            <v>深圳积木易搭科技技术有限公司</v>
          </cell>
          <cell r="L39" t="str">
            <v/>
          </cell>
          <cell r="M39" t="str">
            <v>2024-12-13 16:45:03</v>
          </cell>
          <cell r="N39" t="str">
            <v>2024-12-16 15:21:13</v>
          </cell>
          <cell r="O39" t="str">
            <v>单涛</v>
          </cell>
          <cell r="P39" t="str">
            <v>单涛</v>
          </cell>
          <cell r="Q39" t="str">
            <v/>
          </cell>
          <cell r="R39" t="str">
            <v>否</v>
          </cell>
          <cell r="S39" t="str">
            <v/>
          </cell>
          <cell r="T39" t="str">
            <v/>
          </cell>
          <cell r="U39" t="str">
            <v/>
          </cell>
          <cell r="V39" t="str">
            <v/>
          </cell>
          <cell r="W39" t="str">
            <v/>
          </cell>
          <cell r="X39" t="str">
            <v/>
          </cell>
          <cell r="Y39" t="str">
            <v>1300100204</v>
          </cell>
          <cell r="Z39" t="str">
            <v>JME2</v>
          </cell>
          <cell r="AA39" t="str">
            <v/>
          </cell>
          <cell r="AB39">
            <v>40</v>
          </cell>
          <cell r="AC39">
            <v>32</v>
          </cell>
          <cell r="AD39">
            <v>20.5</v>
          </cell>
          <cell r="AE39">
            <v>26240</v>
          </cell>
          <cell r="AF39" t="str">
            <v>cm³</v>
          </cell>
          <cell r="AG39">
            <v>3.1</v>
          </cell>
          <cell r="AH39" t="str">
            <v>kg</v>
          </cell>
          <cell r="AI39" t="str">
            <v/>
          </cell>
          <cell r="AJ39" t="str">
            <v/>
          </cell>
          <cell r="AK39" t="str">
            <v/>
          </cell>
        </row>
        <row r="40">
          <cell r="A40">
            <v>1300100163</v>
          </cell>
          <cell r="B40" t="str">
            <v>耳样扫描仪 JME2(美规)</v>
          </cell>
          <cell r="C40" t="str">
            <v>3D Scanner JME2(US)</v>
          </cell>
          <cell r="D40" t="str">
            <v>台</v>
          </cell>
          <cell r="E40" t="str">
            <v/>
          </cell>
          <cell r="F40" t="str">
            <v>耳样扫描仪 JME2(美规)</v>
          </cell>
          <cell r="G40" t="str">
            <v>3DMakerpro</v>
          </cell>
          <cell r="H40" t="str">
            <v>耳样扫描仪-JME2</v>
          </cell>
          <cell r="I40" t="str">
            <v>否</v>
          </cell>
          <cell r="J40" t="str">
            <v>否</v>
          </cell>
          <cell r="K40" t="str">
            <v>深圳积木易搭科技技术有限公司</v>
          </cell>
          <cell r="L40" t="str">
            <v/>
          </cell>
          <cell r="M40" t="str">
            <v>2024-03-27 17:54:42</v>
          </cell>
          <cell r="N40" t="str">
            <v>2024-12-16 15:21:52</v>
          </cell>
          <cell r="O40" t="str">
            <v>单涛</v>
          </cell>
          <cell r="P40" t="str">
            <v>单涛</v>
          </cell>
          <cell r="Q40" t="str">
            <v/>
          </cell>
          <cell r="R40" t="str">
            <v>否</v>
          </cell>
          <cell r="S40" t="str">
            <v/>
          </cell>
          <cell r="T40" t="str">
            <v/>
          </cell>
          <cell r="U40" t="str">
            <v/>
          </cell>
          <cell r="V40" t="str">
            <v/>
          </cell>
          <cell r="W40" t="str">
            <v/>
          </cell>
          <cell r="X40" t="str">
            <v/>
          </cell>
          <cell r="Y40" t="str">
            <v>1300100163</v>
          </cell>
          <cell r="Z40" t="str">
            <v>JME2</v>
          </cell>
          <cell r="AA40" t="str">
            <v/>
          </cell>
          <cell r="AB40">
            <v>40</v>
          </cell>
          <cell r="AC40">
            <v>32</v>
          </cell>
          <cell r="AD40">
            <v>20.5</v>
          </cell>
          <cell r="AE40">
            <v>26240</v>
          </cell>
          <cell r="AF40" t="str">
            <v>cm³</v>
          </cell>
          <cell r="AG40">
            <v>3.1</v>
          </cell>
          <cell r="AH40" t="str">
            <v>kg</v>
          </cell>
          <cell r="AI40" t="str">
            <v/>
          </cell>
          <cell r="AJ40" t="str">
            <v>9031499090</v>
          </cell>
          <cell r="AK40" t="str">
            <v>1PCS/1CTN</v>
          </cell>
        </row>
        <row r="41">
          <cell r="A41">
            <v>1300100151</v>
          </cell>
          <cell r="B41" t="str">
            <v>耳样扫描仪</v>
          </cell>
          <cell r="C41" t="str">
            <v>3D Scanner GotoScan(US)</v>
          </cell>
          <cell r="D41" t="str">
            <v>台</v>
          </cell>
          <cell r="E41" t="str">
            <v>6976337770227</v>
          </cell>
          <cell r="F41" t="str">
            <v>JME1/黑色/美规</v>
          </cell>
          <cell r="G41" t="str">
            <v/>
          </cell>
          <cell r="H41" t="str">
            <v>耳样扫描仪-JME1</v>
          </cell>
          <cell r="I41" t="str">
            <v>否</v>
          </cell>
          <cell r="J41" t="str">
            <v>否</v>
          </cell>
          <cell r="K41" t="str">
            <v>深圳积木易搭科技技术有限公司</v>
          </cell>
          <cell r="L41" t="str">
            <v/>
          </cell>
          <cell r="M41" t="str">
            <v>2024-02-05 10:46:45</v>
          </cell>
          <cell r="N41" t="str">
            <v>2024-09-10 10:53:34</v>
          </cell>
          <cell r="O41" t="str">
            <v>单涛</v>
          </cell>
          <cell r="P41" t="str">
            <v>单涛</v>
          </cell>
          <cell r="Q41" t="str">
            <v/>
          </cell>
          <cell r="R41" t="str">
            <v>否</v>
          </cell>
          <cell r="S41" t="str">
            <v/>
          </cell>
          <cell r="T41" t="str">
            <v/>
          </cell>
          <cell r="U41" t="str">
            <v/>
          </cell>
          <cell r="V41" t="str">
            <v/>
          </cell>
          <cell r="W41" t="str">
            <v/>
          </cell>
          <cell r="X41" t="str">
            <v/>
          </cell>
          <cell r="Y41" t="str">
            <v>1300100151</v>
          </cell>
          <cell r="Z41" t="str">
            <v>TS1</v>
          </cell>
          <cell r="AA41" t="str">
            <v>6976337770227</v>
          </cell>
          <cell r="AB41">
            <v>32</v>
          </cell>
          <cell r="AC41">
            <v>31</v>
          </cell>
          <cell r="AD41">
            <v>31</v>
          </cell>
          <cell r="AE41">
            <v>30752</v>
          </cell>
          <cell r="AF41" t="str">
            <v>cm³</v>
          </cell>
          <cell r="AG41">
            <v>4.1</v>
          </cell>
          <cell r="AH41" t="str">
            <v>kg</v>
          </cell>
          <cell r="AI41" t="str">
            <v/>
          </cell>
          <cell r="AJ41" t="str">
            <v>9031499090</v>
          </cell>
          <cell r="AK41" t="str">
            <v/>
          </cell>
        </row>
        <row r="42">
          <cell r="A42">
            <v>1300100154</v>
          </cell>
          <cell r="B42" t="str">
            <v>耳样扫描仪JME1(美英)</v>
          </cell>
          <cell r="C42" t="str">
            <v>3D Scanner GotoScan(US/UK)</v>
          </cell>
          <cell r="D42" t="str">
            <v>台</v>
          </cell>
          <cell r="E42" t="str">
            <v/>
          </cell>
          <cell r="F42" t="str">
            <v>耳样扫描仪JME1(美英)</v>
          </cell>
          <cell r="G42" t="str">
            <v/>
          </cell>
          <cell r="H42" t="str">
            <v>耳样扫描仪-JME1</v>
          </cell>
          <cell r="I42" t="str">
            <v>否</v>
          </cell>
          <cell r="J42" t="str">
            <v>否</v>
          </cell>
          <cell r="K42" t="str">
            <v>深圳积木易搭科技技术有限公司</v>
          </cell>
          <cell r="L42" t="str">
            <v/>
          </cell>
          <cell r="M42" t="str">
            <v>2024-03-07 17:38:02</v>
          </cell>
          <cell r="N42" t="str">
            <v>2024-09-10 10:53:44</v>
          </cell>
          <cell r="O42" t="str">
            <v>单涛</v>
          </cell>
          <cell r="P42" t="str">
            <v>单涛</v>
          </cell>
          <cell r="Q42" t="str">
            <v/>
          </cell>
          <cell r="R42" t="str">
            <v>否</v>
          </cell>
          <cell r="S42" t="str">
            <v/>
          </cell>
          <cell r="T42" t="str">
            <v/>
          </cell>
          <cell r="U42" t="str">
            <v/>
          </cell>
          <cell r="V42" t="str">
            <v/>
          </cell>
          <cell r="W42" t="str">
            <v/>
          </cell>
          <cell r="X42" t="str">
            <v/>
          </cell>
          <cell r="Y42" t="str">
            <v>1300100154</v>
          </cell>
          <cell r="Z42" t="str">
            <v>JME1</v>
          </cell>
          <cell r="AA42" t="str">
            <v/>
          </cell>
          <cell r="AB42" t="str">
            <v/>
          </cell>
          <cell r="AC42" t="str">
            <v/>
          </cell>
          <cell r="AD42" t="str">
            <v/>
          </cell>
          <cell r="AE42" t="str">
            <v/>
          </cell>
          <cell r="AF42" t="str">
            <v/>
          </cell>
          <cell r="AG42" t="str">
            <v/>
          </cell>
          <cell r="AH42" t="str">
            <v/>
          </cell>
          <cell r="AI42" t="str">
            <v/>
          </cell>
          <cell r="AJ42" t="str">
            <v>9031499090</v>
          </cell>
          <cell r="AK42" t="str">
            <v/>
          </cell>
        </row>
        <row r="43">
          <cell r="A43">
            <v>1300100236</v>
          </cell>
          <cell r="B43" t="str">
            <v>耳样扫描仪JME1(4规)</v>
          </cell>
          <cell r="C43" t="str">
            <v>3D Scanner JME1</v>
          </cell>
          <cell r="D43" t="str">
            <v>台</v>
          </cell>
          <cell r="E43" t="str">
            <v/>
          </cell>
          <cell r="F43" t="str">
            <v>耳样扫描仪JME1(4规)</v>
          </cell>
          <cell r="G43" t="str">
            <v>3DMakerpro</v>
          </cell>
          <cell r="H43" t="str">
            <v>耳样扫描仪-JME1</v>
          </cell>
          <cell r="I43" t="str">
            <v>否</v>
          </cell>
          <cell r="J43" t="str">
            <v>否</v>
          </cell>
          <cell r="K43" t="str">
            <v>深圳积木易搭科技技术有限公司</v>
          </cell>
          <cell r="L43" t="str">
            <v/>
          </cell>
          <cell r="M43" t="str">
            <v>2025-05-27 10:57:13</v>
          </cell>
          <cell r="N43" t="str">
            <v>2025-05-27 10:58:53</v>
          </cell>
          <cell r="O43" t="str">
            <v>单涛</v>
          </cell>
          <cell r="P43" t="str">
            <v>单涛</v>
          </cell>
          <cell r="Q43" t="str">
            <v/>
          </cell>
          <cell r="R43" t="str">
            <v>否</v>
          </cell>
          <cell r="S43" t="str">
            <v/>
          </cell>
          <cell r="T43" t="str">
            <v/>
          </cell>
          <cell r="U43" t="str">
            <v/>
          </cell>
          <cell r="V43" t="str">
            <v/>
          </cell>
          <cell r="W43" t="str">
            <v/>
          </cell>
          <cell r="X43" t="str">
            <v/>
          </cell>
          <cell r="Y43" t="str">
            <v>1300100236</v>
          </cell>
          <cell r="Z43" t="str">
            <v>JME1</v>
          </cell>
          <cell r="AA43" t="str">
            <v/>
          </cell>
          <cell r="AB43">
            <v>32</v>
          </cell>
          <cell r="AC43">
            <v>31</v>
          </cell>
          <cell r="AD43">
            <v>31</v>
          </cell>
          <cell r="AE43">
            <v>30752</v>
          </cell>
          <cell r="AF43" t="str">
            <v>cm³</v>
          </cell>
          <cell r="AG43">
            <v>4.1</v>
          </cell>
          <cell r="AH43" t="str">
            <v>kg</v>
          </cell>
          <cell r="AI43" t="str">
            <v/>
          </cell>
          <cell r="AJ43" t="str">
            <v>9031499000</v>
          </cell>
          <cell r="AK43" t="str">
            <v/>
          </cell>
        </row>
        <row r="44">
          <cell r="A44">
            <v>1300100237</v>
          </cell>
          <cell r="B44" t="str">
            <v>耳样扫描仪JME2(4规)</v>
          </cell>
          <cell r="C44" t="str">
            <v>3D Scanner JME2</v>
          </cell>
          <cell r="D44" t="str">
            <v>台</v>
          </cell>
          <cell r="E44" t="str">
            <v/>
          </cell>
          <cell r="F44" t="str">
            <v>耳样扫描仪JME2(4规)</v>
          </cell>
          <cell r="G44" t="str">
            <v>3DMakerpro</v>
          </cell>
          <cell r="H44" t="str">
            <v>耳样扫描仪-JME2</v>
          </cell>
          <cell r="I44" t="str">
            <v>否</v>
          </cell>
          <cell r="J44" t="str">
            <v>否</v>
          </cell>
          <cell r="K44" t="str">
            <v>深圳积木易搭科技技术有限公司</v>
          </cell>
          <cell r="L44" t="str">
            <v/>
          </cell>
          <cell r="M44" t="str">
            <v>2025-05-27 11:00:08</v>
          </cell>
          <cell r="N44" t="str">
            <v>2025-05-27 11:00:43</v>
          </cell>
          <cell r="O44" t="str">
            <v>单涛</v>
          </cell>
          <cell r="P44" t="str">
            <v>单涛</v>
          </cell>
          <cell r="Q44" t="str">
            <v/>
          </cell>
          <cell r="R44" t="str">
            <v>否</v>
          </cell>
          <cell r="S44" t="str">
            <v/>
          </cell>
          <cell r="T44" t="str">
            <v/>
          </cell>
          <cell r="U44" t="str">
            <v/>
          </cell>
          <cell r="V44" t="str">
            <v/>
          </cell>
          <cell r="W44" t="str">
            <v/>
          </cell>
          <cell r="X44" t="str">
            <v/>
          </cell>
          <cell r="Y44" t="str">
            <v>1300100237</v>
          </cell>
          <cell r="Z44" t="str">
            <v>JME2</v>
          </cell>
          <cell r="AA44" t="str">
            <v/>
          </cell>
          <cell r="AB44" t="str">
            <v/>
          </cell>
          <cell r="AC44" t="str">
            <v/>
          </cell>
          <cell r="AD44" t="str">
            <v/>
          </cell>
          <cell r="AE44" t="str">
            <v/>
          </cell>
          <cell r="AF44" t="str">
            <v/>
          </cell>
          <cell r="AG44" t="str">
            <v/>
          </cell>
          <cell r="AH44" t="str">
            <v/>
          </cell>
          <cell r="AI44" t="str">
            <v/>
          </cell>
          <cell r="AJ44" t="str">
            <v/>
          </cell>
          <cell r="AK44" t="str">
            <v/>
          </cell>
        </row>
        <row r="45">
          <cell r="A45">
            <v>1300100155</v>
          </cell>
          <cell r="B45" t="str">
            <v>三维扫描仪Moose基础款(美规)</v>
          </cell>
          <cell r="C45" t="str">
            <v>3D Scanner Moose Standard(US)</v>
          </cell>
          <cell r="D45" t="str">
            <v>台</v>
          </cell>
          <cell r="E45" t="str">
            <v>6975925240814</v>
          </cell>
          <cell r="F45" t="str">
            <v>Moose基础款(美规)</v>
          </cell>
          <cell r="G45" t="str">
            <v>3DMakerpro</v>
          </cell>
          <cell r="H45" t="str">
            <v>三维扫描仪-JMM3</v>
          </cell>
          <cell r="I45" t="str">
            <v>否</v>
          </cell>
          <cell r="J45" t="str">
            <v>否</v>
          </cell>
          <cell r="K45" t="str">
            <v>深圳积木易搭科技技术有限公司</v>
          </cell>
          <cell r="L45" t="str">
            <v/>
          </cell>
          <cell r="M45" t="str">
            <v>2024-03-25 11:39:21</v>
          </cell>
          <cell r="N45" t="str">
            <v>2025-01-13 10:13:33</v>
          </cell>
          <cell r="O45" t="str">
            <v>单涛</v>
          </cell>
          <cell r="P45" t="str">
            <v>单涛</v>
          </cell>
          <cell r="Q45" t="str">
            <v/>
          </cell>
          <cell r="R45" t="str">
            <v>否</v>
          </cell>
          <cell r="S45" t="str">
            <v/>
          </cell>
          <cell r="T45" t="str">
            <v/>
          </cell>
          <cell r="U45" t="str">
            <v/>
          </cell>
          <cell r="V45" t="str">
            <v/>
          </cell>
          <cell r="W45" t="str">
            <v/>
          </cell>
          <cell r="X45" t="str">
            <v/>
          </cell>
          <cell r="Y45" t="str">
            <v>1300100155</v>
          </cell>
          <cell r="Z45" t="str">
            <v>JMM3</v>
          </cell>
          <cell r="AA45" t="str">
            <v>6975925240814</v>
          </cell>
          <cell r="AB45">
            <v>20</v>
          </cell>
          <cell r="AC45">
            <v>17</v>
          </cell>
          <cell r="AD45">
            <v>6</v>
          </cell>
          <cell r="AE45">
            <v>2040</v>
          </cell>
          <cell r="AF45" t="str">
            <v>cm³</v>
          </cell>
          <cell r="AG45">
            <v>0.73</v>
          </cell>
          <cell r="AH45" t="str">
            <v>kg</v>
          </cell>
          <cell r="AI45">
            <v>559.2</v>
          </cell>
          <cell r="AJ45" t="str">
            <v>9031499000</v>
          </cell>
          <cell r="AK45" t="str">
            <v>20PCS/CTN,15.6KGS,外箱：44*33*31cm</v>
          </cell>
        </row>
        <row r="46">
          <cell r="A46">
            <v>1300100156</v>
          </cell>
          <cell r="B46" t="str">
            <v>三维扫描仪Moose基础款(美澳)</v>
          </cell>
          <cell r="C46" t="str">
            <v>3D Scanner Moose Standard(US/AU)</v>
          </cell>
          <cell r="D46" t="str">
            <v>台</v>
          </cell>
          <cell r="E46" t="str">
            <v>6975925240821</v>
          </cell>
          <cell r="F46" t="str">
            <v>Moose基础款(美澳)</v>
          </cell>
          <cell r="G46" t="str">
            <v>3DMakerpro</v>
          </cell>
          <cell r="H46" t="str">
            <v>三维扫描仪-JMM3</v>
          </cell>
          <cell r="I46" t="str">
            <v>否</v>
          </cell>
          <cell r="J46" t="str">
            <v>否</v>
          </cell>
          <cell r="K46" t="str">
            <v>深圳积木易搭科技技术有限公司</v>
          </cell>
          <cell r="L46" t="str">
            <v/>
          </cell>
          <cell r="M46" t="str">
            <v>2024-03-25 11:42:08</v>
          </cell>
          <cell r="N46" t="str">
            <v>2025-01-13 10:13:41</v>
          </cell>
          <cell r="O46" t="str">
            <v>单涛</v>
          </cell>
          <cell r="P46" t="str">
            <v>单涛</v>
          </cell>
          <cell r="Q46" t="str">
            <v/>
          </cell>
          <cell r="R46" t="str">
            <v>否</v>
          </cell>
          <cell r="S46" t="str">
            <v>20PCS/CTN,15.8KGS,外箱：44*33*31cm</v>
          </cell>
          <cell r="T46" t="str">
            <v/>
          </cell>
          <cell r="U46" t="str">
            <v/>
          </cell>
          <cell r="V46" t="str">
            <v/>
          </cell>
          <cell r="W46" t="str">
            <v/>
          </cell>
          <cell r="X46" t="str">
            <v/>
          </cell>
          <cell r="Y46" t="str">
            <v>1300100156</v>
          </cell>
          <cell r="Z46" t="str">
            <v>JMM3</v>
          </cell>
          <cell r="AA46" t="str">
            <v>6975925240821</v>
          </cell>
          <cell r="AB46">
            <v>20</v>
          </cell>
          <cell r="AC46">
            <v>17</v>
          </cell>
          <cell r="AD46">
            <v>6</v>
          </cell>
          <cell r="AE46">
            <v>2040</v>
          </cell>
          <cell r="AF46" t="str">
            <v>cm³</v>
          </cell>
          <cell r="AG46">
            <v>0.74</v>
          </cell>
          <cell r="AH46" t="str">
            <v>kg</v>
          </cell>
          <cell r="AI46">
            <v>559.2</v>
          </cell>
          <cell r="AJ46" t="str">
            <v>9031499000</v>
          </cell>
          <cell r="AK46" t="str">
            <v>20PCS/CTN,15.8KGS,外箱：44*33*31cm</v>
          </cell>
        </row>
        <row r="47">
          <cell r="A47">
            <v>1300100157</v>
          </cell>
          <cell r="B47" t="str">
            <v>三维扫描仪Moose基础款(美英)</v>
          </cell>
          <cell r="C47" t="str">
            <v>3D Scanner Moose Standard(US/UK)</v>
          </cell>
          <cell r="D47" t="str">
            <v>台</v>
          </cell>
          <cell r="E47" t="str">
            <v>6975925240838</v>
          </cell>
          <cell r="F47" t="str">
            <v>Moose基础款(美英)</v>
          </cell>
          <cell r="G47" t="str">
            <v>3DMakerpro</v>
          </cell>
          <cell r="H47" t="str">
            <v>三维扫描仪-JMM3</v>
          </cell>
          <cell r="I47" t="str">
            <v>否</v>
          </cell>
          <cell r="J47" t="str">
            <v>否</v>
          </cell>
          <cell r="K47" t="str">
            <v>深圳积木易搭科技技术有限公司</v>
          </cell>
          <cell r="L47" t="str">
            <v/>
          </cell>
          <cell r="M47" t="str">
            <v>2024-03-25 11:44:13</v>
          </cell>
          <cell r="N47" t="str">
            <v>2025-01-13 10:13:49</v>
          </cell>
          <cell r="O47" t="str">
            <v>单涛</v>
          </cell>
          <cell r="P47" t="str">
            <v>单涛</v>
          </cell>
          <cell r="Q47" t="str">
            <v/>
          </cell>
          <cell r="R47" t="str">
            <v>否</v>
          </cell>
          <cell r="S47" t="str">
            <v/>
          </cell>
          <cell r="T47" t="str">
            <v/>
          </cell>
          <cell r="U47" t="str">
            <v/>
          </cell>
          <cell r="V47" t="str">
            <v/>
          </cell>
          <cell r="W47" t="str">
            <v/>
          </cell>
          <cell r="X47" t="str">
            <v/>
          </cell>
          <cell r="Y47" t="str">
            <v>1300100157</v>
          </cell>
          <cell r="Z47" t="str">
            <v>JMM3</v>
          </cell>
          <cell r="AA47" t="str">
            <v>6975925240838</v>
          </cell>
          <cell r="AB47">
            <v>20</v>
          </cell>
          <cell r="AC47">
            <v>17</v>
          </cell>
          <cell r="AD47">
            <v>6</v>
          </cell>
          <cell r="AE47">
            <v>2040</v>
          </cell>
          <cell r="AF47" t="str">
            <v>cm³</v>
          </cell>
          <cell r="AG47">
            <v>0.74</v>
          </cell>
          <cell r="AH47" t="str">
            <v>kg</v>
          </cell>
          <cell r="AI47">
            <v>559.2</v>
          </cell>
          <cell r="AJ47" t="str">
            <v>9031499000</v>
          </cell>
          <cell r="AK47" t="str">
            <v>20PCS/CTN,15.8KGS,外箱：44*33*31cm</v>
          </cell>
        </row>
        <row r="48">
          <cell r="A48">
            <v>1300100158</v>
          </cell>
          <cell r="B48" t="str">
            <v>三维扫描仪Moose基础款(美欧)</v>
          </cell>
          <cell r="C48" t="str">
            <v>3D Scanner Moose Standard(US/EU)</v>
          </cell>
          <cell r="D48" t="str">
            <v>台</v>
          </cell>
          <cell r="E48" t="str">
            <v>6975925240845</v>
          </cell>
          <cell r="F48" t="str">
            <v>Moose基础款(美欧)</v>
          </cell>
          <cell r="G48" t="str">
            <v>3DMakerpro</v>
          </cell>
          <cell r="H48" t="str">
            <v>三维扫描仪-JMM3</v>
          </cell>
          <cell r="I48" t="str">
            <v>否</v>
          </cell>
          <cell r="J48" t="str">
            <v>否</v>
          </cell>
          <cell r="K48" t="str">
            <v>深圳积木易搭科技技术有限公司</v>
          </cell>
          <cell r="L48" t="str">
            <v/>
          </cell>
          <cell r="M48" t="str">
            <v>2024-03-25 11:45:46</v>
          </cell>
          <cell r="N48" t="str">
            <v>2025-01-13 10:13:58</v>
          </cell>
          <cell r="O48" t="str">
            <v>单涛</v>
          </cell>
          <cell r="P48" t="str">
            <v>单涛</v>
          </cell>
          <cell r="Q48" t="str">
            <v/>
          </cell>
          <cell r="R48" t="str">
            <v>否</v>
          </cell>
          <cell r="S48" t="str">
            <v/>
          </cell>
          <cell r="T48" t="str">
            <v/>
          </cell>
          <cell r="U48" t="str">
            <v/>
          </cell>
          <cell r="V48" t="str">
            <v/>
          </cell>
          <cell r="W48" t="str">
            <v/>
          </cell>
          <cell r="X48" t="str">
            <v/>
          </cell>
          <cell r="Y48" t="str">
            <v>1300100158</v>
          </cell>
          <cell r="Z48" t="str">
            <v>JMM3</v>
          </cell>
          <cell r="AA48" t="str">
            <v>6975925240845</v>
          </cell>
          <cell r="AB48">
            <v>20</v>
          </cell>
          <cell r="AC48">
            <v>17</v>
          </cell>
          <cell r="AD48">
            <v>6</v>
          </cell>
          <cell r="AE48">
            <v>2040</v>
          </cell>
          <cell r="AF48" t="str">
            <v>cm³</v>
          </cell>
          <cell r="AG48">
            <v>0.74</v>
          </cell>
          <cell r="AH48" t="str">
            <v>kg</v>
          </cell>
          <cell r="AI48">
            <v>559.2</v>
          </cell>
          <cell r="AJ48" t="str">
            <v>9031499000</v>
          </cell>
          <cell r="AK48" t="str">
            <v>20PCS/CTN,15.8KGS,外箱：44*33*31cm
出卢森堡申报单价：646.09USD</v>
          </cell>
        </row>
        <row r="49">
          <cell r="A49">
            <v>1300100159</v>
          </cell>
          <cell r="B49" t="str">
            <v>三维扫描仪Moose Lite基础款(美规)</v>
          </cell>
          <cell r="C49" t="str">
            <v>3D Scanner Moose Lite Standard(US)</v>
          </cell>
          <cell r="D49" t="str">
            <v>台</v>
          </cell>
          <cell r="E49" t="str">
            <v>6975925240852</v>
          </cell>
          <cell r="F49" t="str">
            <v>Moose Lite基础款(美规)</v>
          </cell>
          <cell r="G49" t="str">
            <v>3DMakerpro</v>
          </cell>
          <cell r="H49" t="str">
            <v>三维扫描仪-JMM4</v>
          </cell>
          <cell r="I49" t="str">
            <v>否</v>
          </cell>
          <cell r="J49" t="str">
            <v>否</v>
          </cell>
          <cell r="K49" t="str">
            <v>深圳积木易搭科技技术有限公司</v>
          </cell>
          <cell r="L49" t="str">
            <v/>
          </cell>
          <cell r="M49" t="str">
            <v>2024-03-25 11:48:26</v>
          </cell>
          <cell r="N49" t="str">
            <v>2025-01-13 10:14:06</v>
          </cell>
          <cell r="O49" t="str">
            <v>单涛</v>
          </cell>
          <cell r="P49" t="str">
            <v>单涛</v>
          </cell>
          <cell r="Q49" t="str">
            <v/>
          </cell>
          <cell r="R49" t="str">
            <v>否</v>
          </cell>
          <cell r="S49" t="str">
            <v/>
          </cell>
          <cell r="T49" t="str">
            <v/>
          </cell>
          <cell r="U49" t="str">
            <v/>
          </cell>
          <cell r="V49" t="str">
            <v/>
          </cell>
          <cell r="W49" t="str">
            <v/>
          </cell>
          <cell r="X49" t="str">
            <v/>
          </cell>
          <cell r="Y49" t="str">
            <v>1300100159</v>
          </cell>
          <cell r="Z49" t="str">
            <v>JMM4</v>
          </cell>
          <cell r="AA49" t="str">
            <v>6975925240852</v>
          </cell>
          <cell r="AB49">
            <v>20</v>
          </cell>
          <cell r="AC49">
            <v>17</v>
          </cell>
          <cell r="AD49">
            <v>6</v>
          </cell>
          <cell r="AE49">
            <v>2040</v>
          </cell>
          <cell r="AF49" t="str">
            <v>cm³</v>
          </cell>
          <cell r="AG49">
            <v>0.73</v>
          </cell>
          <cell r="AH49" t="str">
            <v>kg</v>
          </cell>
          <cell r="AI49">
            <v>319.2</v>
          </cell>
          <cell r="AJ49" t="str">
            <v>9031499000</v>
          </cell>
          <cell r="AK49" t="str">
            <v>20PCS/CTN,15.6KGS,外箱：44*33*31cm</v>
          </cell>
        </row>
        <row r="50">
          <cell r="A50">
            <v>1300100160</v>
          </cell>
          <cell r="B50" t="str">
            <v>三维扫描仪Moose Lite基础款(美澳)</v>
          </cell>
          <cell r="C50" t="str">
            <v>3D Scanner Moose Lite Standard(US/AU)</v>
          </cell>
          <cell r="D50" t="str">
            <v>台</v>
          </cell>
          <cell r="E50" t="str">
            <v>6975925240869</v>
          </cell>
          <cell r="F50" t="str">
            <v>Moose Lite基础款(美澳)</v>
          </cell>
          <cell r="G50" t="str">
            <v>3DMakerpro</v>
          </cell>
          <cell r="H50" t="str">
            <v>三维扫描仪-JMM4</v>
          </cell>
          <cell r="I50" t="str">
            <v>否</v>
          </cell>
          <cell r="J50" t="str">
            <v>否</v>
          </cell>
          <cell r="K50" t="str">
            <v>深圳积木易搭科技技术有限公司</v>
          </cell>
          <cell r="L50" t="str">
            <v/>
          </cell>
          <cell r="M50" t="str">
            <v>2024-03-25 11:50:33</v>
          </cell>
          <cell r="N50" t="str">
            <v>2025-01-13 10:14:15</v>
          </cell>
          <cell r="O50" t="str">
            <v>单涛</v>
          </cell>
          <cell r="P50" t="str">
            <v>单涛</v>
          </cell>
          <cell r="Q50" t="str">
            <v/>
          </cell>
          <cell r="R50" t="str">
            <v>否</v>
          </cell>
          <cell r="S50" t="str">
            <v/>
          </cell>
          <cell r="T50" t="str">
            <v/>
          </cell>
          <cell r="U50" t="str">
            <v/>
          </cell>
          <cell r="V50" t="str">
            <v/>
          </cell>
          <cell r="W50" t="str">
            <v/>
          </cell>
          <cell r="X50" t="str">
            <v/>
          </cell>
          <cell r="Y50" t="str">
            <v>1300100160</v>
          </cell>
          <cell r="Z50" t="str">
            <v>JMM4</v>
          </cell>
          <cell r="AA50" t="str">
            <v>6975925240869</v>
          </cell>
          <cell r="AB50">
            <v>20</v>
          </cell>
          <cell r="AC50">
            <v>17</v>
          </cell>
          <cell r="AD50">
            <v>6</v>
          </cell>
          <cell r="AE50">
            <v>2040</v>
          </cell>
          <cell r="AF50" t="str">
            <v>cm³</v>
          </cell>
          <cell r="AG50">
            <v>0.74</v>
          </cell>
          <cell r="AH50" t="str">
            <v>kg</v>
          </cell>
          <cell r="AI50">
            <v>319.2</v>
          </cell>
          <cell r="AJ50" t="str">
            <v>9031499000</v>
          </cell>
          <cell r="AK50" t="str">
            <v>20PCS/CTN,15.8KGS,外箱：44*33*31cm</v>
          </cell>
        </row>
        <row r="51">
          <cell r="A51">
            <v>1300100161</v>
          </cell>
          <cell r="B51" t="str">
            <v>三维扫描仪Moose Lite基础款(美英)</v>
          </cell>
          <cell r="C51" t="str">
            <v>3D Scanner Moose Lite Standard(US/UK)</v>
          </cell>
          <cell r="D51" t="str">
            <v>台</v>
          </cell>
          <cell r="E51" t="str">
            <v>6975925240876</v>
          </cell>
          <cell r="F51" t="str">
            <v>Moose Lite基础款(美英)</v>
          </cell>
          <cell r="G51" t="str">
            <v>3DMakerpro</v>
          </cell>
          <cell r="H51" t="str">
            <v>三维扫描仪-JMM4</v>
          </cell>
          <cell r="I51" t="str">
            <v>否</v>
          </cell>
          <cell r="J51" t="str">
            <v>否</v>
          </cell>
          <cell r="K51" t="str">
            <v>深圳积木易搭科技技术有限公司</v>
          </cell>
          <cell r="L51" t="str">
            <v/>
          </cell>
          <cell r="M51" t="str">
            <v>2024-03-25 11:52:47</v>
          </cell>
          <cell r="N51" t="str">
            <v>2025-01-13 10:14:26</v>
          </cell>
          <cell r="O51" t="str">
            <v>单涛</v>
          </cell>
          <cell r="P51" t="str">
            <v>单涛</v>
          </cell>
          <cell r="Q51" t="str">
            <v/>
          </cell>
          <cell r="R51" t="str">
            <v>否</v>
          </cell>
          <cell r="S51" t="str">
            <v/>
          </cell>
          <cell r="T51" t="str">
            <v/>
          </cell>
          <cell r="U51" t="str">
            <v/>
          </cell>
          <cell r="V51" t="str">
            <v/>
          </cell>
          <cell r="W51" t="str">
            <v/>
          </cell>
          <cell r="X51" t="str">
            <v/>
          </cell>
          <cell r="Y51" t="str">
            <v>1300100161</v>
          </cell>
          <cell r="Z51" t="str">
            <v>JMM4</v>
          </cell>
          <cell r="AA51" t="str">
            <v>6975925240876</v>
          </cell>
          <cell r="AB51">
            <v>20</v>
          </cell>
          <cell r="AC51">
            <v>17</v>
          </cell>
          <cell r="AD51">
            <v>6</v>
          </cell>
          <cell r="AE51">
            <v>2040</v>
          </cell>
          <cell r="AF51" t="str">
            <v>cm³</v>
          </cell>
          <cell r="AG51">
            <v>0.74</v>
          </cell>
          <cell r="AH51" t="str">
            <v>kg</v>
          </cell>
          <cell r="AI51">
            <v>319.2</v>
          </cell>
          <cell r="AJ51" t="str">
            <v>9031499000</v>
          </cell>
          <cell r="AK51" t="str">
            <v>20PCS/CTN,15.8KGS,外箱：44*33*31cm</v>
          </cell>
        </row>
        <row r="52">
          <cell r="A52">
            <v>1300100162</v>
          </cell>
          <cell r="B52" t="str">
            <v>三维扫描仪Moose Lite基础款(美欧)</v>
          </cell>
          <cell r="C52" t="str">
            <v>3D Scanner Moose Lite Standard(US/EU)</v>
          </cell>
          <cell r="D52" t="str">
            <v>台</v>
          </cell>
          <cell r="E52" t="str">
            <v>6975925240883</v>
          </cell>
          <cell r="F52" t="str">
            <v>Moose Lite基础款(美欧)</v>
          </cell>
          <cell r="G52" t="str">
            <v>3DMakerpro</v>
          </cell>
          <cell r="H52" t="str">
            <v>三维扫描仪-JMM4</v>
          </cell>
          <cell r="I52" t="str">
            <v>否</v>
          </cell>
          <cell r="J52" t="str">
            <v>否</v>
          </cell>
          <cell r="K52" t="str">
            <v>深圳积木易搭科技技术有限公司</v>
          </cell>
          <cell r="L52" t="str">
            <v/>
          </cell>
          <cell r="M52" t="str">
            <v>2024-03-25 11:55:02</v>
          </cell>
          <cell r="N52" t="str">
            <v>2025-01-13 10:14:39</v>
          </cell>
          <cell r="O52" t="str">
            <v>单涛</v>
          </cell>
          <cell r="P52" t="str">
            <v>单涛</v>
          </cell>
          <cell r="Q52" t="str">
            <v/>
          </cell>
          <cell r="R52" t="str">
            <v>否</v>
          </cell>
          <cell r="S52" t="str">
            <v/>
          </cell>
          <cell r="T52" t="str">
            <v/>
          </cell>
          <cell r="U52" t="str">
            <v/>
          </cell>
          <cell r="V52" t="str">
            <v/>
          </cell>
          <cell r="W52" t="str">
            <v/>
          </cell>
          <cell r="X52" t="str">
            <v/>
          </cell>
          <cell r="Y52" t="str">
            <v>1300100162</v>
          </cell>
          <cell r="Z52" t="str">
            <v>JMM4</v>
          </cell>
          <cell r="AA52" t="str">
            <v>6975925240883</v>
          </cell>
          <cell r="AB52">
            <v>20</v>
          </cell>
          <cell r="AC52">
            <v>17</v>
          </cell>
          <cell r="AD52">
            <v>6</v>
          </cell>
          <cell r="AE52">
            <v>2040</v>
          </cell>
          <cell r="AF52" t="str">
            <v>cm³</v>
          </cell>
          <cell r="AG52">
            <v>0.74</v>
          </cell>
          <cell r="AH52" t="str">
            <v>kg</v>
          </cell>
          <cell r="AI52">
            <v>319.2</v>
          </cell>
          <cell r="AJ52" t="str">
            <v>9031499000</v>
          </cell>
          <cell r="AK52" t="str">
            <v>20PCS/CTN,15.8KGS,外箱：44*33*31cm
出卢森堡申报单价：369.48USD</v>
          </cell>
        </row>
        <row r="53">
          <cell r="A53">
            <v>1300100165</v>
          </cell>
          <cell r="B53" t="str">
            <v>三维扫描仪Moose升级款(美规)</v>
          </cell>
          <cell r="C53" t="str">
            <v>3D Scanner Moose Premium(US)</v>
          </cell>
          <cell r="D53" t="str">
            <v>台</v>
          </cell>
          <cell r="E53" t="str">
            <v>6975925240890</v>
          </cell>
          <cell r="F53" t="str">
            <v>Moose升级款(美规)</v>
          </cell>
          <cell r="G53" t="str">
            <v>3DMakerpro</v>
          </cell>
          <cell r="H53" t="str">
            <v>三维扫描仪-JMM3</v>
          </cell>
          <cell r="I53" t="str">
            <v>否</v>
          </cell>
          <cell r="J53" t="str">
            <v>否</v>
          </cell>
          <cell r="K53" t="str">
            <v>深圳积木易搭科技技术有限公司</v>
          </cell>
          <cell r="L53" t="str">
            <v/>
          </cell>
          <cell r="M53" t="str">
            <v>2024-04-11 10:52:10</v>
          </cell>
          <cell r="N53" t="str">
            <v>2025-01-13 10:14:51</v>
          </cell>
          <cell r="O53" t="str">
            <v>单涛</v>
          </cell>
          <cell r="P53" t="str">
            <v>单涛</v>
          </cell>
          <cell r="Q53" t="str">
            <v/>
          </cell>
          <cell r="R53" t="str">
            <v>否</v>
          </cell>
          <cell r="S53" t="str">
            <v/>
          </cell>
          <cell r="T53" t="str">
            <v/>
          </cell>
          <cell r="U53" t="str">
            <v/>
          </cell>
          <cell r="V53" t="str">
            <v/>
          </cell>
          <cell r="W53" t="str">
            <v/>
          </cell>
          <cell r="X53" t="str">
            <v/>
          </cell>
          <cell r="Y53" t="str">
            <v>1300100165</v>
          </cell>
          <cell r="Z53" t="str">
            <v>JMM3</v>
          </cell>
          <cell r="AA53" t="str">
            <v>6975925240890</v>
          </cell>
          <cell r="AB53">
            <v>27</v>
          </cell>
          <cell r="AC53">
            <v>26</v>
          </cell>
          <cell r="AD53">
            <v>10</v>
          </cell>
          <cell r="AE53">
            <v>7020</v>
          </cell>
          <cell r="AF53" t="str">
            <v>cm³</v>
          </cell>
          <cell r="AG53">
            <v>1.65</v>
          </cell>
          <cell r="AH53" t="str">
            <v>kg</v>
          </cell>
          <cell r="AI53">
            <v>607.2</v>
          </cell>
          <cell r="AJ53" t="str">
            <v>9031499000</v>
          </cell>
          <cell r="AK53" t="str">
            <v>6PCS/CTN,11kgs, CTN Size:49*41*36cm</v>
          </cell>
        </row>
        <row r="54">
          <cell r="A54">
            <v>1300100166</v>
          </cell>
          <cell r="B54" t="str">
            <v>三维扫描仪Moose升级款(美澳)</v>
          </cell>
          <cell r="C54" t="str">
            <v>3D Scanner Moose Premium(US/AU)</v>
          </cell>
          <cell r="D54" t="str">
            <v>台</v>
          </cell>
          <cell r="E54" t="str">
            <v>6975925240906</v>
          </cell>
          <cell r="F54" t="str">
            <v>Moose升级款(美澳)</v>
          </cell>
          <cell r="G54" t="str">
            <v>3DMakerpro</v>
          </cell>
          <cell r="H54" t="str">
            <v>三维扫描仪-JMM3</v>
          </cell>
          <cell r="I54" t="str">
            <v>否</v>
          </cell>
          <cell r="J54" t="str">
            <v>否</v>
          </cell>
          <cell r="K54" t="str">
            <v>深圳积木易搭科技技术有限公司</v>
          </cell>
          <cell r="L54" t="str">
            <v/>
          </cell>
          <cell r="M54" t="str">
            <v>2024-04-11 10:55:25</v>
          </cell>
          <cell r="N54" t="str">
            <v>2025-01-13 10:15:07</v>
          </cell>
          <cell r="O54" t="str">
            <v>单涛</v>
          </cell>
          <cell r="P54" t="str">
            <v>单涛</v>
          </cell>
          <cell r="Q54" t="str">
            <v/>
          </cell>
          <cell r="R54" t="str">
            <v>否</v>
          </cell>
          <cell r="S54" t="str">
            <v/>
          </cell>
          <cell r="T54" t="str">
            <v/>
          </cell>
          <cell r="U54" t="str">
            <v/>
          </cell>
          <cell r="V54" t="str">
            <v/>
          </cell>
          <cell r="W54" t="str">
            <v/>
          </cell>
          <cell r="X54" t="str">
            <v/>
          </cell>
          <cell r="Y54" t="str">
            <v>1300100166</v>
          </cell>
          <cell r="Z54" t="str">
            <v>JMM3</v>
          </cell>
          <cell r="AA54" t="str">
            <v>6975925240906</v>
          </cell>
          <cell r="AB54">
            <v>27</v>
          </cell>
          <cell r="AC54">
            <v>26</v>
          </cell>
          <cell r="AD54">
            <v>10</v>
          </cell>
          <cell r="AE54">
            <v>7020</v>
          </cell>
          <cell r="AF54" t="str">
            <v>cm³</v>
          </cell>
          <cell r="AG54">
            <v>1.7</v>
          </cell>
          <cell r="AH54" t="str">
            <v>kg</v>
          </cell>
          <cell r="AI54">
            <v>607.2</v>
          </cell>
          <cell r="AJ54" t="str">
            <v>9031499000</v>
          </cell>
          <cell r="AK54" t="str">
            <v>6PCS/CTN,11.2kgs,CTN Size:49*41*36cm</v>
          </cell>
        </row>
        <row r="55">
          <cell r="A55">
            <v>1300100167</v>
          </cell>
          <cell r="B55" t="str">
            <v>三维扫描仪Moose升级款(美英)</v>
          </cell>
          <cell r="C55" t="str">
            <v>3D Scanner Moose Premium(US/UK)</v>
          </cell>
          <cell r="D55" t="str">
            <v>台</v>
          </cell>
          <cell r="E55" t="str">
            <v>6975925240913</v>
          </cell>
          <cell r="F55" t="str">
            <v>Moose升级款(美英)</v>
          </cell>
          <cell r="G55" t="str">
            <v>3DMakerpro</v>
          </cell>
          <cell r="H55" t="str">
            <v>三维扫描仪-JMM3</v>
          </cell>
          <cell r="I55" t="str">
            <v>否</v>
          </cell>
          <cell r="J55" t="str">
            <v>否</v>
          </cell>
          <cell r="K55" t="str">
            <v>深圳积木易搭科技技术有限公司</v>
          </cell>
          <cell r="L55" t="str">
            <v/>
          </cell>
          <cell r="M55" t="str">
            <v>2024-04-11 10:57:20</v>
          </cell>
          <cell r="N55" t="str">
            <v>2025-01-13 10:15:18</v>
          </cell>
          <cell r="O55" t="str">
            <v>单涛</v>
          </cell>
          <cell r="P55" t="str">
            <v>单涛</v>
          </cell>
          <cell r="Q55" t="str">
            <v/>
          </cell>
          <cell r="R55" t="str">
            <v>否</v>
          </cell>
          <cell r="S55" t="str">
            <v/>
          </cell>
          <cell r="T55" t="str">
            <v/>
          </cell>
          <cell r="U55" t="str">
            <v/>
          </cell>
          <cell r="V55" t="str">
            <v/>
          </cell>
          <cell r="W55" t="str">
            <v/>
          </cell>
          <cell r="X55" t="str">
            <v/>
          </cell>
          <cell r="Y55" t="str">
            <v>1300100167</v>
          </cell>
          <cell r="Z55" t="str">
            <v>JMM3</v>
          </cell>
          <cell r="AA55" t="str">
            <v>6975925240913</v>
          </cell>
          <cell r="AB55">
            <v>27</v>
          </cell>
          <cell r="AC55">
            <v>26</v>
          </cell>
          <cell r="AD55">
            <v>10</v>
          </cell>
          <cell r="AE55">
            <v>7020</v>
          </cell>
          <cell r="AF55" t="str">
            <v>cm³</v>
          </cell>
          <cell r="AG55">
            <v>1.7</v>
          </cell>
          <cell r="AH55" t="str">
            <v>kg</v>
          </cell>
          <cell r="AI55">
            <v>607.2</v>
          </cell>
          <cell r="AJ55" t="str">
            <v>9031499000</v>
          </cell>
          <cell r="AK55" t="str">
            <v>6PCS/CTN,11.2kgs,CTN Size:49*41*36cm</v>
          </cell>
        </row>
        <row r="56">
          <cell r="A56">
            <v>1300100168</v>
          </cell>
          <cell r="B56" t="str">
            <v>三维扫描仪Moose升级款(美欧)</v>
          </cell>
          <cell r="C56" t="str">
            <v>3D Scanner Moose Premium(US/EU)</v>
          </cell>
          <cell r="D56" t="str">
            <v>台</v>
          </cell>
          <cell r="E56" t="str">
            <v>6975925240920</v>
          </cell>
          <cell r="F56" t="str">
            <v>Moose升级款(美欧)</v>
          </cell>
          <cell r="G56" t="str">
            <v>3DMakerpro</v>
          </cell>
          <cell r="H56" t="str">
            <v>三维扫描仪-JMM3</v>
          </cell>
          <cell r="I56" t="str">
            <v>否</v>
          </cell>
          <cell r="J56" t="str">
            <v>否</v>
          </cell>
          <cell r="K56" t="str">
            <v>深圳积木易搭科技技术有限公司</v>
          </cell>
          <cell r="L56" t="str">
            <v/>
          </cell>
          <cell r="M56" t="str">
            <v>2024-04-11 10:59:00</v>
          </cell>
          <cell r="N56" t="str">
            <v>2025-01-13 10:15:26</v>
          </cell>
          <cell r="O56" t="str">
            <v>单涛</v>
          </cell>
          <cell r="P56" t="str">
            <v>单涛</v>
          </cell>
          <cell r="Q56" t="str">
            <v/>
          </cell>
          <cell r="R56" t="str">
            <v>否</v>
          </cell>
          <cell r="S56" t="str">
            <v/>
          </cell>
          <cell r="T56" t="str">
            <v/>
          </cell>
          <cell r="U56" t="str">
            <v/>
          </cell>
          <cell r="V56" t="str">
            <v/>
          </cell>
          <cell r="W56" t="str">
            <v/>
          </cell>
          <cell r="X56" t="str">
            <v/>
          </cell>
          <cell r="Y56" t="str">
            <v>1300100168</v>
          </cell>
          <cell r="Z56" t="str">
            <v>JMM3</v>
          </cell>
          <cell r="AA56" t="str">
            <v>6975925240920</v>
          </cell>
          <cell r="AB56">
            <v>27</v>
          </cell>
          <cell r="AC56">
            <v>26</v>
          </cell>
          <cell r="AD56">
            <v>10</v>
          </cell>
          <cell r="AE56">
            <v>7020</v>
          </cell>
          <cell r="AF56" t="str">
            <v>cm³</v>
          </cell>
          <cell r="AG56">
            <v>1.7</v>
          </cell>
          <cell r="AH56" t="str">
            <v>kg</v>
          </cell>
          <cell r="AI56">
            <v>607.2</v>
          </cell>
          <cell r="AJ56" t="str">
            <v>9031499000</v>
          </cell>
          <cell r="AK56" t="str">
            <v>6PCS/CTN,11.2gs,CTN Size:49*41*36cm
出卢森堡申报单价：699.44USD</v>
          </cell>
        </row>
        <row r="57">
          <cell r="A57">
            <v>1300100169</v>
          </cell>
          <cell r="B57" t="str">
            <v>三维扫描仪Moose Lite升级款(美规)</v>
          </cell>
          <cell r="C57" t="str">
            <v>3D Scanner Moose Lite Premium(US)</v>
          </cell>
          <cell r="D57" t="str">
            <v>台</v>
          </cell>
          <cell r="E57" t="str">
            <v>6975925240937</v>
          </cell>
          <cell r="F57" t="str">
            <v>Moose Lite升级款(美规)</v>
          </cell>
          <cell r="G57" t="str">
            <v>3DMakerpro</v>
          </cell>
          <cell r="H57" t="str">
            <v>三维扫描仪-JMM4</v>
          </cell>
          <cell r="I57" t="str">
            <v>否</v>
          </cell>
          <cell r="J57" t="str">
            <v>否</v>
          </cell>
          <cell r="K57" t="str">
            <v>深圳积木易搭科技技术有限公司</v>
          </cell>
          <cell r="L57" t="str">
            <v/>
          </cell>
          <cell r="M57" t="str">
            <v>2024-04-11 11:02:31</v>
          </cell>
          <cell r="N57" t="str">
            <v>2025-01-13 10:15:35</v>
          </cell>
          <cell r="O57" t="str">
            <v>单涛</v>
          </cell>
          <cell r="P57" t="str">
            <v>单涛</v>
          </cell>
          <cell r="Q57" t="str">
            <v/>
          </cell>
          <cell r="R57" t="str">
            <v>否</v>
          </cell>
          <cell r="S57" t="str">
            <v/>
          </cell>
          <cell r="T57" t="str">
            <v/>
          </cell>
          <cell r="U57" t="str">
            <v/>
          </cell>
          <cell r="V57" t="str">
            <v/>
          </cell>
          <cell r="W57" t="str">
            <v/>
          </cell>
          <cell r="X57" t="str">
            <v/>
          </cell>
          <cell r="Y57" t="str">
            <v>1300100169</v>
          </cell>
          <cell r="Z57" t="str">
            <v>JMM4</v>
          </cell>
          <cell r="AA57" t="str">
            <v>6975925240937</v>
          </cell>
          <cell r="AB57">
            <v>27</v>
          </cell>
          <cell r="AC57">
            <v>26</v>
          </cell>
          <cell r="AD57">
            <v>10</v>
          </cell>
          <cell r="AE57">
            <v>7020</v>
          </cell>
          <cell r="AF57" t="str">
            <v>cm³</v>
          </cell>
          <cell r="AG57">
            <v>1.65</v>
          </cell>
          <cell r="AH57" t="str">
            <v>kg</v>
          </cell>
          <cell r="AI57">
            <v>367.2</v>
          </cell>
          <cell r="AJ57" t="str">
            <v>9031499000</v>
          </cell>
          <cell r="AK57" t="str">
            <v>6PCS/CTN,11kgs,CTN Size:49*41*36cm</v>
          </cell>
        </row>
        <row r="58">
          <cell r="A58">
            <v>1300100170</v>
          </cell>
          <cell r="B58" t="str">
            <v>三维扫描仪Moose Lite升级款(美澳)</v>
          </cell>
          <cell r="C58" t="str">
            <v>3D Scanner Moose Lite Premium(US/AU)</v>
          </cell>
          <cell r="D58" t="str">
            <v>台</v>
          </cell>
          <cell r="E58" t="str">
            <v>6975925240944</v>
          </cell>
          <cell r="F58" t="str">
            <v>Moose Lite升级款(美澳)</v>
          </cell>
          <cell r="G58" t="str">
            <v>3DMakerpro</v>
          </cell>
          <cell r="H58" t="str">
            <v>三维扫描仪-JMM4</v>
          </cell>
          <cell r="I58" t="str">
            <v>否</v>
          </cell>
          <cell r="J58" t="str">
            <v>否</v>
          </cell>
          <cell r="K58" t="str">
            <v>深圳积木易搭科技技术有限公司</v>
          </cell>
          <cell r="L58" t="str">
            <v/>
          </cell>
          <cell r="M58" t="str">
            <v>2024-04-11 11:04:30</v>
          </cell>
          <cell r="N58" t="str">
            <v>2025-01-13 10:15:43</v>
          </cell>
          <cell r="O58" t="str">
            <v>单涛</v>
          </cell>
          <cell r="P58" t="str">
            <v>单涛</v>
          </cell>
          <cell r="Q58" t="str">
            <v/>
          </cell>
          <cell r="R58" t="str">
            <v>否</v>
          </cell>
          <cell r="S58" t="str">
            <v/>
          </cell>
          <cell r="T58" t="str">
            <v/>
          </cell>
          <cell r="U58" t="str">
            <v/>
          </cell>
          <cell r="V58" t="str">
            <v/>
          </cell>
          <cell r="W58" t="str">
            <v/>
          </cell>
          <cell r="X58" t="str">
            <v/>
          </cell>
          <cell r="Y58" t="str">
            <v>1300100170</v>
          </cell>
          <cell r="Z58" t="str">
            <v>JMM4</v>
          </cell>
          <cell r="AA58" t="str">
            <v>6975925240944</v>
          </cell>
          <cell r="AB58">
            <v>27</v>
          </cell>
          <cell r="AC58">
            <v>26</v>
          </cell>
          <cell r="AD58">
            <v>10</v>
          </cell>
          <cell r="AE58">
            <v>7020</v>
          </cell>
          <cell r="AF58" t="str">
            <v>cm³</v>
          </cell>
          <cell r="AG58">
            <v>1.7</v>
          </cell>
          <cell r="AH58" t="str">
            <v>kg</v>
          </cell>
          <cell r="AI58">
            <v>367.2</v>
          </cell>
          <cell r="AJ58" t="str">
            <v>9031499000</v>
          </cell>
          <cell r="AK58" t="str">
            <v>6PCS/CTN,11.2kgs,CTN Size:49*41*36cm</v>
          </cell>
        </row>
        <row r="59">
          <cell r="A59">
            <v>1300100171</v>
          </cell>
          <cell r="B59" t="str">
            <v>三维扫描仪Moose Lite升级款(美英)</v>
          </cell>
          <cell r="C59" t="str">
            <v>3D Scanner Moose Lite Premium(US/UK)</v>
          </cell>
          <cell r="D59" t="str">
            <v>台</v>
          </cell>
          <cell r="E59" t="str">
            <v>6975925240951</v>
          </cell>
          <cell r="F59" t="str">
            <v>Moose Lite升级款(美英)</v>
          </cell>
          <cell r="G59" t="str">
            <v>3DMakerpro</v>
          </cell>
          <cell r="H59" t="str">
            <v>三维扫描仪-JMM4</v>
          </cell>
          <cell r="I59" t="str">
            <v>否</v>
          </cell>
          <cell r="J59" t="str">
            <v>否</v>
          </cell>
          <cell r="K59" t="str">
            <v>深圳积木易搭科技技术有限公司</v>
          </cell>
          <cell r="L59" t="str">
            <v/>
          </cell>
          <cell r="M59" t="str">
            <v>2024-04-11 11:06:32</v>
          </cell>
          <cell r="N59" t="str">
            <v>2025-01-13 10:15:53</v>
          </cell>
          <cell r="O59" t="str">
            <v>单涛</v>
          </cell>
          <cell r="P59" t="str">
            <v>单涛</v>
          </cell>
          <cell r="Q59" t="str">
            <v/>
          </cell>
          <cell r="R59" t="str">
            <v>否</v>
          </cell>
          <cell r="S59" t="str">
            <v/>
          </cell>
          <cell r="T59" t="str">
            <v/>
          </cell>
          <cell r="U59" t="str">
            <v/>
          </cell>
          <cell r="V59" t="str">
            <v/>
          </cell>
          <cell r="W59" t="str">
            <v/>
          </cell>
          <cell r="X59" t="str">
            <v/>
          </cell>
          <cell r="Y59" t="str">
            <v>1300100171</v>
          </cell>
          <cell r="Z59" t="str">
            <v>JMM4</v>
          </cell>
          <cell r="AA59" t="str">
            <v>6975925240951</v>
          </cell>
          <cell r="AB59">
            <v>27</v>
          </cell>
          <cell r="AC59">
            <v>26</v>
          </cell>
          <cell r="AD59">
            <v>10</v>
          </cell>
          <cell r="AE59">
            <v>7020</v>
          </cell>
          <cell r="AF59" t="str">
            <v>cm³</v>
          </cell>
          <cell r="AG59">
            <v>1.7</v>
          </cell>
          <cell r="AH59" t="str">
            <v>kg</v>
          </cell>
          <cell r="AI59">
            <v>367.2</v>
          </cell>
          <cell r="AJ59" t="str">
            <v>9031499000</v>
          </cell>
          <cell r="AK59" t="str">
            <v>6PCS/CTN,11.2kgs,CTN Size:49*41*36cm</v>
          </cell>
        </row>
        <row r="60">
          <cell r="A60">
            <v>1300100172</v>
          </cell>
          <cell r="B60" t="str">
            <v>三维扫描仪Moose Lite升级款(美欧)</v>
          </cell>
          <cell r="C60" t="str">
            <v>3D Scanner Moose Lite Premium(US/EU)</v>
          </cell>
          <cell r="D60" t="str">
            <v>台</v>
          </cell>
          <cell r="E60" t="str">
            <v>6975925240968</v>
          </cell>
          <cell r="F60" t="str">
            <v>Moose Lite升级款(美欧)</v>
          </cell>
          <cell r="G60" t="str">
            <v>3DMakerpro</v>
          </cell>
          <cell r="H60" t="str">
            <v>三维扫描仪-JMM4</v>
          </cell>
          <cell r="I60" t="str">
            <v>否</v>
          </cell>
          <cell r="J60" t="str">
            <v>否</v>
          </cell>
          <cell r="K60" t="str">
            <v>深圳积木易搭科技技术有限公司</v>
          </cell>
          <cell r="L60" t="str">
            <v/>
          </cell>
          <cell r="M60" t="str">
            <v>2024-04-11 11:07:51</v>
          </cell>
          <cell r="N60" t="str">
            <v>2025-01-14 13:42:18</v>
          </cell>
          <cell r="O60" t="str">
            <v>单涛</v>
          </cell>
          <cell r="P60" t="str">
            <v>单涛</v>
          </cell>
          <cell r="Q60" t="str">
            <v/>
          </cell>
          <cell r="R60" t="str">
            <v>否</v>
          </cell>
          <cell r="S60" t="str">
            <v/>
          </cell>
          <cell r="T60" t="str">
            <v/>
          </cell>
          <cell r="U60" t="str">
            <v/>
          </cell>
          <cell r="V60" t="str">
            <v/>
          </cell>
          <cell r="W60" t="str">
            <v/>
          </cell>
          <cell r="X60" t="str">
            <v/>
          </cell>
          <cell r="Y60" t="str">
            <v>1300100172</v>
          </cell>
          <cell r="Z60" t="str">
            <v>JMM4</v>
          </cell>
          <cell r="AA60" t="str">
            <v>6975925240968</v>
          </cell>
          <cell r="AB60">
            <v>27</v>
          </cell>
          <cell r="AC60">
            <v>26</v>
          </cell>
          <cell r="AD60">
            <v>10</v>
          </cell>
          <cell r="AE60">
            <v>7020</v>
          </cell>
          <cell r="AF60" t="str">
            <v>cm³</v>
          </cell>
          <cell r="AG60">
            <v>1.7</v>
          </cell>
          <cell r="AH60" t="str">
            <v>kg</v>
          </cell>
          <cell r="AI60">
            <v>367.2</v>
          </cell>
          <cell r="AJ60" t="str">
            <v>9031499000</v>
          </cell>
          <cell r="AK60" t="str">
            <v>6PCS/CTN,11.2kgs,CTN Size:49*41*36cm
出卢森堡申报单价：410.97USD</v>
          </cell>
        </row>
        <row r="61">
          <cell r="A61">
            <v>1300100190</v>
          </cell>
          <cell r="B61" t="str">
            <v>三维扫描仪Moose豪华款(美欧)</v>
          </cell>
          <cell r="C61" t="str">
            <v>3D Scanner Moose Luxury(US/EU)</v>
          </cell>
          <cell r="D61" t="str">
            <v>台</v>
          </cell>
          <cell r="E61" t="str">
            <v>6975925241101</v>
          </cell>
          <cell r="F61" t="str">
            <v>Moose豪华款(美欧)</v>
          </cell>
          <cell r="G61" t="str">
            <v>3DMakerpro</v>
          </cell>
          <cell r="H61" t="str">
            <v>三维扫描仪-JMM3</v>
          </cell>
          <cell r="I61" t="str">
            <v>否</v>
          </cell>
          <cell r="J61" t="str">
            <v>否</v>
          </cell>
          <cell r="K61" t="str">
            <v>深圳积木易搭科技技术有限公司</v>
          </cell>
          <cell r="L61" t="str">
            <v/>
          </cell>
          <cell r="M61" t="str">
            <v>2024-09-05 15:03:38</v>
          </cell>
          <cell r="N61" t="str">
            <v>2025-01-14 13:42:29</v>
          </cell>
          <cell r="O61" t="str">
            <v>单涛</v>
          </cell>
          <cell r="P61" t="str">
            <v>单涛</v>
          </cell>
          <cell r="Q61" t="str">
            <v/>
          </cell>
          <cell r="R61" t="str">
            <v>否</v>
          </cell>
          <cell r="S61" t="str">
            <v>5PCS/CTNS,13.8kgs,Size:49*41*36cm 出卢森堡申报单价：912.83USD</v>
          </cell>
          <cell r="T61" t="str">
            <v/>
          </cell>
          <cell r="U61" t="str">
            <v/>
          </cell>
          <cell r="V61" t="str">
            <v/>
          </cell>
          <cell r="W61" t="str">
            <v/>
          </cell>
          <cell r="X61" t="str">
            <v/>
          </cell>
          <cell r="Y61" t="str">
            <v>1300100190</v>
          </cell>
          <cell r="Z61" t="str">
            <v>JMM3</v>
          </cell>
          <cell r="AA61" t="str">
            <v>6975925241101</v>
          </cell>
          <cell r="AB61">
            <v>28</v>
          </cell>
          <cell r="AC61">
            <v>37</v>
          </cell>
          <cell r="AD61">
            <v>11</v>
          </cell>
          <cell r="AE61">
            <v>11396</v>
          </cell>
          <cell r="AF61" t="str">
            <v>cm³</v>
          </cell>
          <cell r="AG61">
            <v>2.55</v>
          </cell>
          <cell r="AH61" t="str">
            <v>kg</v>
          </cell>
          <cell r="AI61">
            <v>798.4</v>
          </cell>
          <cell r="AJ61" t="str">
            <v>9031499000</v>
          </cell>
          <cell r="AK61" t="str">
            <v>5PCS/CTNS,13.8kgs,Size:49*41*36cm
出卢森堡申报单价：912.83USD</v>
          </cell>
        </row>
        <row r="62">
          <cell r="A62">
            <v>1300100189</v>
          </cell>
          <cell r="B62" t="str">
            <v>三维扫描仪Moose豪华款(美英)</v>
          </cell>
          <cell r="C62" t="str">
            <v>3D Scanner Moose Luxury(US/UK)</v>
          </cell>
          <cell r="D62" t="str">
            <v>台</v>
          </cell>
          <cell r="E62" t="str">
            <v>6975925241095</v>
          </cell>
          <cell r="F62" t="str">
            <v>Moose豪华款(美英)</v>
          </cell>
          <cell r="G62" t="str">
            <v>3DMakerpro</v>
          </cell>
          <cell r="H62" t="str">
            <v>三维扫描仪-JMM3</v>
          </cell>
          <cell r="I62" t="str">
            <v>否</v>
          </cell>
          <cell r="J62" t="str">
            <v>否</v>
          </cell>
          <cell r="K62" t="str">
            <v>深圳积木易搭科技技术有限公司</v>
          </cell>
          <cell r="L62" t="str">
            <v/>
          </cell>
          <cell r="M62" t="str">
            <v>2024-09-05 15:00:37</v>
          </cell>
          <cell r="N62" t="str">
            <v>2025-01-14 13:42:43</v>
          </cell>
          <cell r="O62" t="str">
            <v>单涛</v>
          </cell>
          <cell r="P62" t="str">
            <v>单涛</v>
          </cell>
          <cell r="Q62" t="str">
            <v/>
          </cell>
          <cell r="R62" t="str">
            <v>否</v>
          </cell>
          <cell r="S62" t="str">
            <v/>
          </cell>
          <cell r="T62" t="str">
            <v/>
          </cell>
          <cell r="U62" t="str">
            <v/>
          </cell>
          <cell r="V62" t="str">
            <v/>
          </cell>
          <cell r="W62" t="str">
            <v/>
          </cell>
          <cell r="X62" t="str">
            <v/>
          </cell>
          <cell r="Y62" t="str">
            <v>1300100189</v>
          </cell>
          <cell r="Z62" t="str">
            <v>JMM3</v>
          </cell>
          <cell r="AA62" t="str">
            <v>6975925241095</v>
          </cell>
          <cell r="AB62">
            <v>28</v>
          </cell>
          <cell r="AC62">
            <v>37</v>
          </cell>
          <cell r="AD62">
            <v>11</v>
          </cell>
          <cell r="AE62">
            <v>11396</v>
          </cell>
          <cell r="AF62" t="str">
            <v>cm³</v>
          </cell>
          <cell r="AG62">
            <v>2.55</v>
          </cell>
          <cell r="AH62" t="str">
            <v>kg</v>
          </cell>
          <cell r="AI62">
            <v>798.4</v>
          </cell>
          <cell r="AJ62" t="str">
            <v>9031499000</v>
          </cell>
          <cell r="AK62" t="str">
            <v>5PCS/CTNS,13.8kgs,Size:49*41*36cm</v>
          </cell>
        </row>
        <row r="63">
          <cell r="A63">
            <v>1300100188</v>
          </cell>
          <cell r="B63" t="str">
            <v>三维扫描仪Moose豪华款(美澳)</v>
          </cell>
          <cell r="C63" t="str">
            <v>3D Scanner Moose Luxury(US/AU)</v>
          </cell>
          <cell r="D63" t="str">
            <v>台</v>
          </cell>
          <cell r="E63" t="str">
            <v>6975925241088</v>
          </cell>
          <cell r="F63" t="str">
            <v>Moose豪华款(美澳)</v>
          </cell>
          <cell r="G63" t="str">
            <v>3DMakerpro</v>
          </cell>
          <cell r="H63" t="str">
            <v>三维扫描仪-JMM3</v>
          </cell>
          <cell r="I63" t="str">
            <v>否</v>
          </cell>
          <cell r="J63" t="str">
            <v>否</v>
          </cell>
          <cell r="K63" t="str">
            <v>深圳积木易搭科技技术有限公司</v>
          </cell>
          <cell r="L63" t="str">
            <v/>
          </cell>
          <cell r="M63" t="str">
            <v>2024-09-05 14:56:39</v>
          </cell>
          <cell r="N63" t="str">
            <v>2025-01-14 13:42:51</v>
          </cell>
          <cell r="O63" t="str">
            <v>单涛</v>
          </cell>
          <cell r="P63" t="str">
            <v>单涛</v>
          </cell>
          <cell r="Q63" t="str">
            <v/>
          </cell>
          <cell r="R63" t="str">
            <v>否</v>
          </cell>
          <cell r="S63" t="str">
            <v/>
          </cell>
          <cell r="T63" t="str">
            <v/>
          </cell>
          <cell r="U63" t="str">
            <v/>
          </cell>
          <cell r="V63" t="str">
            <v/>
          </cell>
          <cell r="W63" t="str">
            <v/>
          </cell>
          <cell r="X63" t="str">
            <v/>
          </cell>
          <cell r="Y63" t="str">
            <v>1300100188</v>
          </cell>
          <cell r="Z63" t="str">
            <v>JMM3</v>
          </cell>
          <cell r="AA63" t="str">
            <v>6975925241088</v>
          </cell>
          <cell r="AB63">
            <v>28</v>
          </cell>
          <cell r="AC63">
            <v>37</v>
          </cell>
          <cell r="AD63">
            <v>11</v>
          </cell>
          <cell r="AE63">
            <v>11396</v>
          </cell>
          <cell r="AF63" t="str">
            <v>cm³</v>
          </cell>
          <cell r="AG63">
            <v>2.55</v>
          </cell>
          <cell r="AH63" t="str">
            <v>kg</v>
          </cell>
          <cell r="AI63">
            <v>798.4</v>
          </cell>
          <cell r="AJ63" t="str">
            <v>9031499000</v>
          </cell>
          <cell r="AK63" t="str">
            <v>5PCS/CTNS,13.8kgs,Size:49*41*36cm</v>
          </cell>
        </row>
        <row r="64">
          <cell r="A64">
            <v>1300100197</v>
          </cell>
          <cell r="B64" t="str">
            <v>三维扫描仪Moose Lite豪华款(美欧)</v>
          </cell>
          <cell r="C64" t="str">
            <v>3D Scanner Moose Lite Luxury(US/EU)</v>
          </cell>
          <cell r="D64" t="str">
            <v>台</v>
          </cell>
          <cell r="E64" t="str">
            <v>6975925241118</v>
          </cell>
          <cell r="F64" t="str">
            <v>Moose Lite豪华款(美欧)</v>
          </cell>
          <cell r="G64" t="str">
            <v>3DMakerpro</v>
          </cell>
          <cell r="H64" t="str">
            <v>三维扫描仪-JMM4</v>
          </cell>
          <cell r="I64" t="str">
            <v>否</v>
          </cell>
          <cell r="J64" t="str">
            <v>否</v>
          </cell>
          <cell r="K64" t="str">
            <v>深圳积木易搭科技技术有限公司</v>
          </cell>
          <cell r="L64" t="str">
            <v/>
          </cell>
          <cell r="M64" t="str">
            <v>2024-09-10 11:01:13</v>
          </cell>
          <cell r="N64" t="str">
            <v>2025-01-14 13:43:00</v>
          </cell>
          <cell r="O64" t="str">
            <v>单涛</v>
          </cell>
          <cell r="P64" t="str">
            <v>单涛</v>
          </cell>
          <cell r="Q64" t="str">
            <v/>
          </cell>
          <cell r="R64" t="str">
            <v>否</v>
          </cell>
          <cell r="S64" t="str">
            <v/>
          </cell>
          <cell r="T64" t="str">
            <v/>
          </cell>
          <cell r="U64" t="str">
            <v/>
          </cell>
          <cell r="V64" t="str">
            <v/>
          </cell>
          <cell r="W64" t="str">
            <v/>
          </cell>
          <cell r="X64" t="str">
            <v/>
          </cell>
          <cell r="Y64" t="str">
            <v>1300100197</v>
          </cell>
          <cell r="Z64" t="str">
            <v>JMM4</v>
          </cell>
          <cell r="AA64" t="str">
            <v>6975925241118</v>
          </cell>
          <cell r="AB64">
            <v>28</v>
          </cell>
          <cell r="AC64">
            <v>37</v>
          </cell>
          <cell r="AD64">
            <v>11</v>
          </cell>
          <cell r="AE64">
            <v>11396</v>
          </cell>
          <cell r="AF64" t="str">
            <v>cm³</v>
          </cell>
          <cell r="AG64">
            <v>2.55</v>
          </cell>
          <cell r="AH64" t="str">
            <v>kg</v>
          </cell>
          <cell r="AI64">
            <v>523.5</v>
          </cell>
          <cell r="AJ64" t="str">
            <v>9031499000</v>
          </cell>
          <cell r="AK64" t="str">
            <v>5PCS/CTNS,13.8kgs,Size:49*41*36cm
出卢森堡申报单价：646.09USD</v>
          </cell>
        </row>
        <row r="65">
          <cell r="A65">
            <v>1300100196</v>
          </cell>
          <cell r="B65" t="str">
            <v>三维扫描仪Moose Lite豪华款(美英)</v>
          </cell>
          <cell r="C65" t="str">
            <v>3D Scanner Moose Lite Luxury(US/UK)</v>
          </cell>
          <cell r="D65" t="str">
            <v>台</v>
          </cell>
          <cell r="E65" t="str">
            <v>6975925241125</v>
          </cell>
          <cell r="F65" t="str">
            <v>Moose Lite豪华款(美英)</v>
          </cell>
          <cell r="G65" t="str">
            <v>3DMakerpro</v>
          </cell>
          <cell r="H65" t="str">
            <v>三维扫描仪-JMM4</v>
          </cell>
          <cell r="I65" t="str">
            <v>否</v>
          </cell>
          <cell r="J65" t="str">
            <v>否</v>
          </cell>
          <cell r="K65" t="str">
            <v>深圳积木易搭科技技术有限公司</v>
          </cell>
          <cell r="L65" t="str">
            <v/>
          </cell>
          <cell r="M65" t="str">
            <v>2024-09-10 11:03:24</v>
          </cell>
          <cell r="N65" t="str">
            <v>2025-01-14 13:43:09</v>
          </cell>
          <cell r="O65" t="str">
            <v>单涛</v>
          </cell>
          <cell r="P65" t="str">
            <v>单涛</v>
          </cell>
          <cell r="Q65" t="str">
            <v/>
          </cell>
          <cell r="R65" t="str">
            <v>否</v>
          </cell>
          <cell r="S65" t="str">
            <v/>
          </cell>
          <cell r="T65" t="str">
            <v/>
          </cell>
          <cell r="U65" t="str">
            <v/>
          </cell>
          <cell r="V65" t="str">
            <v/>
          </cell>
          <cell r="W65" t="str">
            <v/>
          </cell>
          <cell r="X65" t="str">
            <v/>
          </cell>
          <cell r="Y65" t="str">
            <v>1300100196</v>
          </cell>
          <cell r="Z65" t="str">
            <v>JMM4</v>
          </cell>
          <cell r="AA65" t="str">
            <v>6975925241125</v>
          </cell>
          <cell r="AB65">
            <v>28</v>
          </cell>
          <cell r="AC65">
            <v>37</v>
          </cell>
          <cell r="AD65">
            <v>11</v>
          </cell>
          <cell r="AE65">
            <v>11396</v>
          </cell>
          <cell r="AF65" t="str">
            <v>cm³</v>
          </cell>
          <cell r="AG65">
            <v>2.55</v>
          </cell>
          <cell r="AH65" t="str">
            <v>kg</v>
          </cell>
          <cell r="AI65">
            <v>523.5</v>
          </cell>
          <cell r="AJ65" t="str">
            <v>9031499000</v>
          </cell>
          <cell r="AK65" t="str">
            <v>5PCS/CTNS,13.8kgs,Size:49*41*36cm</v>
          </cell>
        </row>
        <row r="66">
          <cell r="A66">
            <v>1300100195</v>
          </cell>
          <cell r="B66" t="str">
            <v>三维扫描仪Moose Lite豪华款(美澳)</v>
          </cell>
          <cell r="C66" t="str">
            <v>3D Scanner Moose Lite Luxury(US/AU)</v>
          </cell>
          <cell r="D66" t="str">
            <v>台</v>
          </cell>
          <cell r="E66" t="str">
            <v>6975925241132</v>
          </cell>
          <cell r="F66" t="str">
            <v>Moose Lite豪华款(美澳)</v>
          </cell>
          <cell r="G66" t="str">
            <v>3DMakerpro</v>
          </cell>
          <cell r="H66" t="str">
            <v>三维扫描仪-JMM4</v>
          </cell>
          <cell r="I66" t="str">
            <v>否</v>
          </cell>
          <cell r="J66" t="str">
            <v>否</v>
          </cell>
          <cell r="K66" t="str">
            <v>深圳积木易搭科技技术有限公司</v>
          </cell>
          <cell r="L66" t="str">
            <v/>
          </cell>
          <cell r="M66" t="str">
            <v>2024-09-10 11:05:21</v>
          </cell>
          <cell r="N66" t="str">
            <v>2025-01-14 13:43:17</v>
          </cell>
          <cell r="O66" t="str">
            <v>单涛</v>
          </cell>
          <cell r="P66" t="str">
            <v>单涛</v>
          </cell>
          <cell r="Q66" t="str">
            <v/>
          </cell>
          <cell r="R66" t="str">
            <v>否</v>
          </cell>
          <cell r="S66" t="str">
            <v/>
          </cell>
          <cell r="T66" t="str">
            <v/>
          </cell>
          <cell r="U66" t="str">
            <v/>
          </cell>
          <cell r="V66" t="str">
            <v/>
          </cell>
          <cell r="W66" t="str">
            <v/>
          </cell>
          <cell r="X66" t="str">
            <v/>
          </cell>
          <cell r="Y66" t="str">
            <v>1300100195</v>
          </cell>
          <cell r="Z66" t="str">
            <v>JMM4</v>
          </cell>
          <cell r="AA66" t="str">
            <v>6975925241132</v>
          </cell>
          <cell r="AB66">
            <v>28</v>
          </cell>
          <cell r="AC66">
            <v>37</v>
          </cell>
          <cell r="AD66">
            <v>11</v>
          </cell>
          <cell r="AE66">
            <v>11396</v>
          </cell>
          <cell r="AF66" t="str">
            <v>cm³</v>
          </cell>
          <cell r="AG66">
            <v>2.55</v>
          </cell>
          <cell r="AH66" t="str">
            <v>kg</v>
          </cell>
          <cell r="AI66">
            <v>523.5</v>
          </cell>
          <cell r="AJ66" t="str">
            <v>9031499000</v>
          </cell>
          <cell r="AK66" t="str">
            <v>5PCS/CTNS,13.8kgs,Size:49*41*36cm</v>
          </cell>
        </row>
        <row r="67">
          <cell r="A67">
            <v>1200100084</v>
          </cell>
          <cell r="B67" t="str">
            <v>三维扫描仪Moose主机</v>
          </cell>
          <cell r="C67" t="str">
            <v>3D Scanner Moose</v>
          </cell>
          <cell r="D67" t="str">
            <v>台</v>
          </cell>
          <cell r="E67" t="str">
            <v/>
          </cell>
          <cell r="F67" t="str">
            <v>Moose主机</v>
          </cell>
          <cell r="G67" t="str">
            <v>3DMakerpro</v>
          </cell>
          <cell r="H67" t="str">
            <v>三维扫描仪-JMM3</v>
          </cell>
          <cell r="I67" t="str">
            <v>否</v>
          </cell>
          <cell r="J67" t="str">
            <v>否</v>
          </cell>
          <cell r="K67" t="str">
            <v>深圳积木易搭科技技术有限公司</v>
          </cell>
          <cell r="L67" t="str">
            <v/>
          </cell>
          <cell r="M67" t="str">
            <v>2024-06-17 14:49:24</v>
          </cell>
          <cell r="N67" t="str">
            <v>2025-01-14 13:43:26</v>
          </cell>
          <cell r="O67" t="str">
            <v>单涛</v>
          </cell>
          <cell r="P67" t="str">
            <v>单涛</v>
          </cell>
          <cell r="Q67" t="str">
            <v/>
          </cell>
          <cell r="R67" t="str">
            <v>否</v>
          </cell>
          <cell r="S67" t="str">
            <v/>
          </cell>
          <cell r="T67" t="str">
            <v/>
          </cell>
          <cell r="U67" t="str">
            <v/>
          </cell>
          <cell r="V67" t="str">
            <v/>
          </cell>
          <cell r="W67" t="str">
            <v/>
          </cell>
          <cell r="X67" t="str">
            <v/>
          </cell>
          <cell r="Y67" t="str">
            <v>1200100084</v>
          </cell>
          <cell r="Z67" t="str">
            <v>JMM3</v>
          </cell>
          <cell r="AA67" t="str">
            <v/>
          </cell>
          <cell r="AB67" t="str">
            <v/>
          </cell>
          <cell r="AC67" t="str">
            <v/>
          </cell>
          <cell r="AD67" t="str">
            <v/>
          </cell>
          <cell r="AE67" t="str">
            <v/>
          </cell>
          <cell r="AF67" t="str">
            <v/>
          </cell>
          <cell r="AG67" t="str">
            <v/>
          </cell>
          <cell r="AH67" t="str">
            <v/>
          </cell>
          <cell r="AI67" t="str">
            <v/>
          </cell>
          <cell r="AJ67" t="str">
            <v>9031499000</v>
          </cell>
          <cell r="AK67" t="str">
            <v/>
          </cell>
        </row>
        <row r="68">
          <cell r="A68">
            <v>1200100085</v>
          </cell>
          <cell r="B68" t="str">
            <v>三维扫描仪Moose lite主机</v>
          </cell>
          <cell r="C68" t="str">
            <v>3D Scanner Moose lite</v>
          </cell>
          <cell r="D68" t="str">
            <v>台</v>
          </cell>
          <cell r="E68" t="str">
            <v/>
          </cell>
          <cell r="F68" t="str">
            <v>Moose lite主机</v>
          </cell>
          <cell r="G68" t="str">
            <v>3DMakerpro</v>
          </cell>
          <cell r="H68" t="str">
            <v>三维扫描仪-JMM4</v>
          </cell>
          <cell r="I68" t="str">
            <v>否</v>
          </cell>
          <cell r="J68" t="str">
            <v>否</v>
          </cell>
          <cell r="K68" t="str">
            <v>深圳积木易搭科技技术有限公司</v>
          </cell>
          <cell r="L68" t="str">
            <v/>
          </cell>
          <cell r="M68" t="str">
            <v>2024-06-14 10:23:04</v>
          </cell>
          <cell r="N68" t="str">
            <v>2025-01-14 13:43:34</v>
          </cell>
          <cell r="O68" t="str">
            <v>单涛</v>
          </cell>
          <cell r="P68" t="str">
            <v>单涛</v>
          </cell>
          <cell r="Q68" t="str">
            <v/>
          </cell>
          <cell r="R68" t="str">
            <v>否</v>
          </cell>
          <cell r="S68" t="str">
            <v/>
          </cell>
          <cell r="T68" t="str">
            <v/>
          </cell>
          <cell r="U68" t="str">
            <v/>
          </cell>
          <cell r="V68" t="str">
            <v/>
          </cell>
          <cell r="W68" t="str">
            <v/>
          </cell>
          <cell r="X68" t="str">
            <v/>
          </cell>
          <cell r="Y68" t="str">
            <v>1200100085</v>
          </cell>
          <cell r="Z68" t="str">
            <v>JMM4</v>
          </cell>
          <cell r="AA68" t="str">
            <v/>
          </cell>
          <cell r="AB68" t="str">
            <v/>
          </cell>
          <cell r="AC68" t="str">
            <v/>
          </cell>
          <cell r="AD68" t="str">
            <v/>
          </cell>
          <cell r="AE68" t="str">
            <v/>
          </cell>
          <cell r="AF68" t="str">
            <v/>
          </cell>
          <cell r="AG68" t="str">
            <v/>
          </cell>
          <cell r="AH68" t="str">
            <v/>
          </cell>
          <cell r="AI68" t="str">
            <v/>
          </cell>
          <cell r="AJ68" t="str">
            <v>9031499000</v>
          </cell>
          <cell r="AK68" t="str">
            <v/>
          </cell>
        </row>
        <row r="69">
          <cell r="A69">
            <v>1200100094</v>
          </cell>
          <cell r="B69" t="str">
            <v>Moose/Moose Lite线缆套装</v>
          </cell>
          <cell r="C69" t="str">
            <v>Moose/Moose Lite Cable</v>
          </cell>
          <cell r="D69" t="str">
            <v>根</v>
          </cell>
          <cell r="E69" t="str">
            <v>6975925241026</v>
          </cell>
          <cell r="F69" t="str">
            <v>Moose/Moose Lite线缆套装</v>
          </cell>
          <cell r="G69" t="str">
            <v>3DMakerpro</v>
          </cell>
          <cell r="H69" t="str">
            <v>三维扫描仪备品备件</v>
          </cell>
          <cell r="I69" t="str">
            <v>否</v>
          </cell>
          <cell r="J69" t="str">
            <v>否</v>
          </cell>
          <cell r="K69" t="str">
            <v>深圳积木易搭科技技术有限公司</v>
          </cell>
          <cell r="L69" t="str">
            <v/>
          </cell>
          <cell r="M69" t="str">
            <v>2024-06-26 10:06:38</v>
          </cell>
          <cell r="N69" t="str">
            <v>2024-09-10 11:07:18</v>
          </cell>
          <cell r="O69" t="str">
            <v>单涛</v>
          </cell>
          <cell r="P69" t="str">
            <v>单涛</v>
          </cell>
          <cell r="Q69" t="str">
            <v/>
          </cell>
          <cell r="R69" t="str">
            <v>否</v>
          </cell>
          <cell r="S69" t="str">
            <v>销售包装</v>
          </cell>
          <cell r="T69" t="str">
            <v/>
          </cell>
          <cell r="U69" t="str">
            <v/>
          </cell>
          <cell r="V69" t="str">
            <v/>
          </cell>
          <cell r="W69" t="str">
            <v/>
          </cell>
          <cell r="X69" t="str">
            <v/>
          </cell>
          <cell r="Y69" t="str">
            <v>1200100094</v>
          </cell>
          <cell r="Z69" t="str">
            <v>-</v>
          </cell>
          <cell r="AA69" t="str">
            <v>6975925241026</v>
          </cell>
          <cell r="AB69">
            <v>18</v>
          </cell>
          <cell r="AC69">
            <v>7</v>
          </cell>
          <cell r="AD69">
            <v>4.5</v>
          </cell>
          <cell r="AE69">
            <v>567</v>
          </cell>
          <cell r="AF69" t="str">
            <v>cm³</v>
          </cell>
          <cell r="AG69">
            <v>0.15</v>
          </cell>
          <cell r="AH69" t="str">
            <v>kg</v>
          </cell>
          <cell r="AI69" t="str">
            <v/>
          </cell>
          <cell r="AJ69" t="str">
            <v>8544421100</v>
          </cell>
          <cell r="AK69" t="str">
            <v/>
          </cell>
        </row>
        <row r="70">
          <cell r="A70">
            <v>1300100175</v>
          </cell>
          <cell r="B70" t="str">
            <v>Color Kit 2彩色套件(美规)</v>
          </cell>
          <cell r="C70" t="str">
            <v>Color Kit 2(US)</v>
          </cell>
          <cell r="D70" t="str">
            <v>台</v>
          </cell>
          <cell r="E70" t="str">
            <v>6975925240975</v>
          </cell>
          <cell r="F70" t="str">
            <v>Color Kit 2彩色套件(美规)</v>
          </cell>
          <cell r="G70" t="str">
            <v>3DMakerpro</v>
          </cell>
          <cell r="H70" t="str">
            <v>三维扫描仪备品备件</v>
          </cell>
          <cell r="I70" t="str">
            <v>否</v>
          </cell>
          <cell r="J70" t="str">
            <v>否</v>
          </cell>
          <cell r="K70" t="str">
            <v>深圳积木易搭科技技术有限公司</v>
          </cell>
          <cell r="L70" t="str">
            <v/>
          </cell>
          <cell r="M70" t="str">
            <v>2024-04-19 10:48:36</v>
          </cell>
          <cell r="N70" t="str">
            <v>2024-09-18 08:47:41</v>
          </cell>
          <cell r="O70" t="str">
            <v>单涛</v>
          </cell>
          <cell r="P70" t="str">
            <v>单涛</v>
          </cell>
          <cell r="Q70" t="str">
            <v/>
          </cell>
          <cell r="R70" t="str">
            <v>否</v>
          </cell>
          <cell r="S70" t="str">
            <v/>
          </cell>
          <cell r="T70" t="str">
            <v/>
          </cell>
          <cell r="U70" t="str">
            <v/>
          </cell>
          <cell r="V70" t="str">
            <v/>
          </cell>
          <cell r="W70" t="str">
            <v/>
          </cell>
          <cell r="X70" t="str">
            <v/>
          </cell>
          <cell r="Y70" t="str">
            <v>1300100175</v>
          </cell>
          <cell r="Z70" t="str">
            <v>-</v>
          </cell>
          <cell r="AA70" t="str">
            <v>6975925240975</v>
          </cell>
          <cell r="AB70">
            <v>38</v>
          </cell>
          <cell r="AC70">
            <v>26</v>
          </cell>
          <cell r="AD70">
            <v>15</v>
          </cell>
          <cell r="AE70">
            <v>14820</v>
          </cell>
          <cell r="AF70" t="str">
            <v>cm³</v>
          </cell>
          <cell r="AG70">
            <v>2.5</v>
          </cell>
          <cell r="AH70" t="str">
            <v>kg</v>
          </cell>
          <cell r="AI70">
            <v>159.2</v>
          </cell>
          <cell r="AJ70" t="str">
            <v>9006919900</v>
          </cell>
          <cell r="AK70" t="str">
            <v/>
          </cell>
        </row>
        <row r="71">
          <cell r="A71">
            <v>1300100176</v>
          </cell>
          <cell r="B71" t="str">
            <v>Color Kit 2彩色套件(美澳)</v>
          </cell>
          <cell r="C71" t="str">
            <v>Color Kit 2(US/AU)</v>
          </cell>
          <cell r="D71" t="str">
            <v>台</v>
          </cell>
          <cell r="E71" t="str">
            <v>6975925240982</v>
          </cell>
          <cell r="F71" t="str">
            <v>Color Kit 2彩色套件(美澳)</v>
          </cell>
          <cell r="G71" t="str">
            <v>3DMakerpro</v>
          </cell>
          <cell r="H71" t="str">
            <v>三维扫描仪备品备件</v>
          </cell>
          <cell r="I71" t="str">
            <v>否</v>
          </cell>
          <cell r="J71" t="str">
            <v>否</v>
          </cell>
          <cell r="K71" t="str">
            <v>深圳积木易搭科技技术有限公司</v>
          </cell>
          <cell r="L71" t="str">
            <v/>
          </cell>
          <cell r="M71" t="str">
            <v>2024-04-19 10:50:52</v>
          </cell>
          <cell r="N71" t="str">
            <v>2024-09-18 08:47:51</v>
          </cell>
          <cell r="O71" t="str">
            <v>单涛</v>
          </cell>
          <cell r="P71" t="str">
            <v>单涛</v>
          </cell>
          <cell r="Q71" t="str">
            <v/>
          </cell>
          <cell r="R71" t="str">
            <v>否</v>
          </cell>
          <cell r="S71" t="str">
            <v/>
          </cell>
          <cell r="T71" t="str">
            <v/>
          </cell>
          <cell r="U71" t="str">
            <v/>
          </cell>
          <cell r="V71" t="str">
            <v/>
          </cell>
          <cell r="W71" t="str">
            <v/>
          </cell>
          <cell r="X71" t="str">
            <v/>
          </cell>
          <cell r="Y71" t="str">
            <v>1300100176</v>
          </cell>
          <cell r="Z71" t="str">
            <v>-</v>
          </cell>
          <cell r="AA71" t="str">
            <v>6975925240982</v>
          </cell>
          <cell r="AB71">
            <v>38</v>
          </cell>
          <cell r="AC71">
            <v>26</v>
          </cell>
          <cell r="AD71">
            <v>15</v>
          </cell>
          <cell r="AE71">
            <v>14820</v>
          </cell>
          <cell r="AF71" t="str">
            <v>cm³</v>
          </cell>
          <cell r="AG71">
            <v>2.5</v>
          </cell>
          <cell r="AH71" t="str">
            <v>kg</v>
          </cell>
          <cell r="AI71">
            <v>159.2</v>
          </cell>
          <cell r="AJ71" t="str">
            <v>9006919900</v>
          </cell>
          <cell r="AK71" t="str">
            <v/>
          </cell>
        </row>
        <row r="72">
          <cell r="A72">
            <v>1300100177</v>
          </cell>
          <cell r="B72" t="str">
            <v>Color Kit 2彩色套件(美英)</v>
          </cell>
          <cell r="C72" t="str">
            <v>Color Kit 2(US/UK)</v>
          </cell>
          <cell r="D72" t="str">
            <v>台</v>
          </cell>
          <cell r="E72" t="str">
            <v>6975925240999</v>
          </cell>
          <cell r="F72" t="str">
            <v>Color Kit 2彩色套件(美英)</v>
          </cell>
          <cell r="G72" t="str">
            <v>3DMakerpro</v>
          </cell>
          <cell r="H72" t="str">
            <v>三维扫描仪备品备件</v>
          </cell>
          <cell r="I72" t="str">
            <v>否</v>
          </cell>
          <cell r="J72" t="str">
            <v>否</v>
          </cell>
          <cell r="K72" t="str">
            <v>深圳积木易搭科技技术有限公司</v>
          </cell>
          <cell r="L72" t="str">
            <v/>
          </cell>
          <cell r="M72" t="str">
            <v>2024-04-19 10:52:09</v>
          </cell>
          <cell r="N72" t="str">
            <v>2024-09-18 08:48:01</v>
          </cell>
          <cell r="O72" t="str">
            <v>单涛</v>
          </cell>
          <cell r="P72" t="str">
            <v>单涛</v>
          </cell>
          <cell r="Q72" t="str">
            <v/>
          </cell>
          <cell r="R72" t="str">
            <v>否</v>
          </cell>
          <cell r="S72" t="str">
            <v/>
          </cell>
          <cell r="T72" t="str">
            <v/>
          </cell>
          <cell r="U72" t="str">
            <v/>
          </cell>
          <cell r="V72" t="str">
            <v/>
          </cell>
          <cell r="W72" t="str">
            <v/>
          </cell>
          <cell r="X72" t="str">
            <v/>
          </cell>
          <cell r="Y72" t="str">
            <v>1300100177</v>
          </cell>
          <cell r="Z72" t="str">
            <v>-</v>
          </cell>
          <cell r="AA72" t="str">
            <v>6975925240999</v>
          </cell>
          <cell r="AB72">
            <v>38</v>
          </cell>
          <cell r="AC72">
            <v>26</v>
          </cell>
          <cell r="AD72">
            <v>15</v>
          </cell>
          <cell r="AE72">
            <v>14820</v>
          </cell>
          <cell r="AF72" t="str">
            <v>cm³</v>
          </cell>
          <cell r="AG72">
            <v>2.5</v>
          </cell>
          <cell r="AH72" t="str">
            <v>kg</v>
          </cell>
          <cell r="AI72">
            <v>159.2</v>
          </cell>
          <cell r="AJ72" t="str">
            <v>9006919900</v>
          </cell>
          <cell r="AK72" t="str">
            <v/>
          </cell>
        </row>
        <row r="73">
          <cell r="A73">
            <v>1300100178</v>
          </cell>
          <cell r="B73" t="str">
            <v>Color Kit 2彩色套件(美欧)</v>
          </cell>
          <cell r="C73" t="str">
            <v>Color Kit 2(US/EU)</v>
          </cell>
          <cell r="D73" t="str">
            <v>台</v>
          </cell>
          <cell r="E73" t="str">
            <v>6975925241002</v>
          </cell>
          <cell r="F73" t="str">
            <v>Color Kit 2彩色套件(美欧)</v>
          </cell>
          <cell r="G73" t="str">
            <v>3DMakerpro</v>
          </cell>
          <cell r="H73" t="str">
            <v>三维扫描仪备品备件</v>
          </cell>
          <cell r="I73" t="str">
            <v>否</v>
          </cell>
          <cell r="J73" t="str">
            <v>否</v>
          </cell>
          <cell r="K73" t="str">
            <v>深圳积木易搭科技技术有限公司</v>
          </cell>
          <cell r="L73" t="str">
            <v/>
          </cell>
          <cell r="M73" t="str">
            <v>2024-04-19 10:53:15</v>
          </cell>
          <cell r="N73" t="str">
            <v>2024-09-18 08:48:12</v>
          </cell>
          <cell r="O73" t="str">
            <v>单涛</v>
          </cell>
          <cell r="P73" t="str">
            <v>单涛</v>
          </cell>
          <cell r="Q73" t="str">
            <v/>
          </cell>
          <cell r="R73" t="str">
            <v>否</v>
          </cell>
          <cell r="S73" t="str">
            <v/>
          </cell>
          <cell r="T73" t="str">
            <v/>
          </cell>
          <cell r="U73" t="str">
            <v/>
          </cell>
          <cell r="V73" t="str">
            <v/>
          </cell>
          <cell r="W73" t="str">
            <v/>
          </cell>
          <cell r="X73" t="str">
            <v/>
          </cell>
          <cell r="Y73" t="str">
            <v>1300100178</v>
          </cell>
          <cell r="Z73" t="str">
            <v>-</v>
          </cell>
          <cell r="AA73" t="str">
            <v>6975925241002</v>
          </cell>
          <cell r="AB73">
            <v>38</v>
          </cell>
          <cell r="AC73">
            <v>26</v>
          </cell>
          <cell r="AD73">
            <v>15</v>
          </cell>
          <cell r="AE73">
            <v>14820</v>
          </cell>
          <cell r="AF73" t="str">
            <v>cm³</v>
          </cell>
          <cell r="AG73">
            <v>2.5</v>
          </cell>
          <cell r="AH73" t="str">
            <v>kg</v>
          </cell>
          <cell r="AI73">
            <v>159.2</v>
          </cell>
          <cell r="AJ73" t="str">
            <v>9006919900</v>
          </cell>
          <cell r="AK73" t="str">
            <v/>
          </cell>
        </row>
        <row r="74">
          <cell r="A74">
            <v>1300100087</v>
          </cell>
          <cell r="B74" t="str">
            <v>三维扫描仪Seal 基础款(美规)</v>
          </cell>
          <cell r="C74" t="str">
            <v>3D Scanner Seal Standard(US)</v>
          </cell>
          <cell r="D74" t="str">
            <v>台</v>
          </cell>
          <cell r="E74" t="str">
            <v>6975925240579</v>
          </cell>
          <cell r="F74" t="str">
            <v>Seal 基础款（美规）</v>
          </cell>
          <cell r="G74" t="str">
            <v>3DMakerpro</v>
          </cell>
          <cell r="H74" t="str">
            <v>三维扫描仪-JMS2</v>
          </cell>
          <cell r="I74" t="str">
            <v>否</v>
          </cell>
          <cell r="J74" t="str">
            <v>否</v>
          </cell>
          <cell r="K74" t="str">
            <v>深圳积木易搭科技技术有限公司</v>
          </cell>
          <cell r="L74" t="str">
            <v/>
          </cell>
          <cell r="M74" t="str">
            <v>2023-09-12 16:14:53</v>
          </cell>
          <cell r="N74" t="str">
            <v>2025-01-14 13:43:44</v>
          </cell>
          <cell r="O74" t="str">
            <v>单涛</v>
          </cell>
          <cell r="P74" t="str">
            <v>单涛</v>
          </cell>
          <cell r="Q74" t="str">
            <v/>
          </cell>
          <cell r="R74" t="str">
            <v>否</v>
          </cell>
          <cell r="S74" t="str">
            <v/>
          </cell>
          <cell r="T74" t="str">
            <v/>
          </cell>
          <cell r="U74" t="str">
            <v/>
          </cell>
          <cell r="V74" t="str">
            <v/>
          </cell>
          <cell r="W74" t="str">
            <v/>
          </cell>
          <cell r="X74" t="str">
            <v/>
          </cell>
          <cell r="Y74" t="str">
            <v>1300100087</v>
          </cell>
          <cell r="Z74" t="str">
            <v>JMS2</v>
          </cell>
          <cell r="AA74" t="str">
            <v>6975925240579</v>
          </cell>
          <cell r="AB74">
            <v>22</v>
          </cell>
          <cell r="AC74">
            <v>15</v>
          </cell>
          <cell r="AD74">
            <v>7</v>
          </cell>
          <cell r="AE74">
            <v>2310</v>
          </cell>
          <cell r="AF74" t="str">
            <v>cm³</v>
          </cell>
          <cell r="AG74">
            <v>0.65</v>
          </cell>
          <cell r="AH74" t="str">
            <v>kg</v>
          </cell>
          <cell r="AI74">
            <v>559.2</v>
          </cell>
          <cell r="AJ74" t="str">
            <v>9031499000</v>
          </cell>
          <cell r="AK74" t="str">
            <v>13.2KGS,16PCS/CTNS,外箱：44*33*31cm</v>
          </cell>
        </row>
        <row r="75">
          <cell r="A75">
            <v>1300100132</v>
          </cell>
          <cell r="B75" t="str">
            <v>三维扫描仪Seal 基础款(美澳)</v>
          </cell>
          <cell r="C75" t="str">
            <v>3D Scanner Seal Standard(US/AU)</v>
          </cell>
          <cell r="D75" t="str">
            <v>台</v>
          </cell>
          <cell r="E75" t="str">
            <v>6975925240586</v>
          </cell>
          <cell r="F75" t="str">
            <v>Seal 基础款（美澳）</v>
          </cell>
          <cell r="G75" t="str">
            <v>3DMakerpro</v>
          </cell>
          <cell r="H75" t="str">
            <v>三维扫描仪-JMS2</v>
          </cell>
          <cell r="I75" t="str">
            <v>否</v>
          </cell>
          <cell r="J75" t="str">
            <v>否</v>
          </cell>
          <cell r="K75" t="str">
            <v>深圳积木易搭科技技术有限公司</v>
          </cell>
          <cell r="L75" t="str">
            <v/>
          </cell>
          <cell r="M75" t="str">
            <v>2023-09-12 16:24:25</v>
          </cell>
          <cell r="N75" t="str">
            <v>2025-01-14 13:43:53</v>
          </cell>
          <cell r="O75" t="str">
            <v>单涛</v>
          </cell>
          <cell r="P75" t="str">
            <v>单涛</v>
          </cell>
          <cell r="Q75" t="str">
            <v/>
          </cell>
          <cell r="R75" t="str">
            <v>否</v>
          </cell>
          <cell r="S75" t="str">
            <v/>
          </cell>
          <cell r="T75" t="str">
            <v/>
          </cell>
          <cell r="U75" t="str">
            <v/>
          </cell>
          <cell r="V75" t="str">
            <v/>
          </cell>
          <cell r="W75" t="str">
            <v/>
          </cell>
          <cell r="X75" t="str">
            <v/>
          </cell>
          <cell r="Y75" t="str">
            <v>1300100132</v>
          </cell>
          <cell r="Z75" t="str">
            <v>JMS2</v>
          </cell>
          <cell r="AA75" t="str">
            <v>6975925240586</v>
          </cell>
          <cell r="AB75">
            <v>22</v>
          </cell>
          <cell r="AC75">
            <v>15</v>
          </cell>
          <cell r="AD75">
            <v>7</v>
          </cell>
          <cell r="AE75">
            <v>2310</v>
          </cell>
          <cell r="AF75" t="str">
            <v>cm³</v>
          </cell>
          <cell r="AG75">
            <v>0.65</v>
          </cell>
          <cell r="AH75" t="str">
            <v>kg</v>
          </cell>
          <cell r="AI75">
            <v>559.2</v>
          </cell>
          <cell r="AJ75" t="str">
            <v>9031499000</v>
          </cell>
          <cell r="AK75" t="str">
            <v>13.2KGS,16PCS/CTNS,外箱：44*33*31cm</v>
          </cell>
        </row>
        <row r="76">
          <cell r="A76">
            <v>1300100133</v>
          </cell>
          <cell r="B76" t="str">
            <v>三维扫描仪Seal 基础款(美英)</v>
          </cell>
          <cell r="C76" t="str">
            <v>3D Scanner Seal Standard(US/UK)</v>
          </cell>
          <cell r="D76" t="str">
            <v>台</v>
          </cell>
          <cell r="E76" t="str">
            <v>6975925240593</v>
          </cell>
          <cell r="F76" t="str">
            <v>Seal 基础款（美英）</v>
          </cell>
          <cell r="G76" t="str">
            <v>3DMakerpro</v>
          </cell>
          <cell r="H76" t="str">
            <v>三维扫描仪-JMS2</v>
          </cell>
          <cell r="I76" t="str">
            <v>否</v>
          </cell>
          <cell r="J76" t="str">
            <v>否</v>
          </cell>
          <cell r="K76" t="str">
            <v>深圳积木易搭科技技术有限公司</v>
          </cell>
          <cell r="L76" t="str">
            <v/>
          </cell>
          <cell r="M76" t="str">
            <v>2023-09-12 16:27:46</v>
          </cell>
          <cell r="N76" t="str">
            <v>2025-01-14 13:44:02</v>
          </cell>
          <cell r="O76" t="str">
            <v>单涛</v>
          </cell>
          <cell r="P76" t="str">
            <v>单涛</v>
          </cell>
          <cell r="Q76" t="str">
            <v/>
          </cell>
          <cell r="R76" t="str">
            <v>否</v>
          </cell>
          <cell r="S76" t="str">
            <v/>
          </cell>
          <cell r="T76" t="str">
            <v/>
          </cell>
          <cell r="U76" t="str">
            <v/>
          </cell>
          <cell r="V76" t="str">
            <v/>
          </cell>
          <cell r="W76" t="str">
            <v/>
          </cell>
          <cell r="X76" t="str">
            <v/>
          </cell>
          <cell r="Y76" t="str">
            <v>1300100133</v>
          </cell>
          <cell r="Z76" t="str">
            <v>JMS2</v>
          </cell>
          <cell r="AA76" t="str">
            <v>6975925240593</v>
          </cell>
          <cell r="AB76">
            <v>22</v>
          </cell>
          <cell r="AC76">
            <v>15</v>
          </cell>
          <cell r="AD76">
            <v>7</v>
          </cell>
          <cell r="AE76">
            <v>2310</v>
          </cell>
          <cell r="AF76" t="str">
            <v>cm³</v>
          </cell>
          <cell r="AG76">
            <v>0.65</v>
          </cell>
          <cell r="AH76" t="str">
            <v>kg</v>
          </cell>
          <cell r="AI76">
            <v>559.2</v>
          </cell>
          <cell r="AJ76" t="str">
            <v>9031499000</v>
          </cell>
          <cell r="AK76" t="str">
            <v>13.2KGS,16PCS/CTNS,外箱：44*33*31cm</v>
          </cell>
        </row>
        <row r="77">
          <cell r="A77">
            <v>1300100134</v>
          </cell>
          <cell r="B77" t="str">
            <v>三维扫描仪Seal 基础款(美欧)</v>
          </cell>
          <cell r="C77" t="str">
            <v>3D Scanner Seal Standard(US/EU)</v>
          </cell>
          <cell r="D77" t="str">
            <v>台</v>
          </cell>
          <cell r="E77" t="str">
            <v>6975925240609</v>
          </cell>
          <cell r="F77" t="str">
            <v>Seal 基础款（美欧）</v>
          </cell>
          <cell r="G77" t="str">
            <v>3DMakerpro</v>
          </cell>
          <cell r="H77" t="str">
            <v>三维扫描仪-JMS2</v>
          </cell>
          <cell r="I77" t="str">
            <v>否</v>
          </cell>
          <cell r="J77" t="str">
            <v>否</v>
          </cell>
          <cell r="K77" t="str">
            <v>深圳积木易搭科技技术有限公司</v>
          </cell>
          <cell r="L77" t="str">
            <v/>
          </cell>
          <cell r="M77" t="str">
            <v>2023-09-12 16:34:15</v>
          </cell>
          <cell r="N77" t="str">
            <v>2025-01-14 13:44:11</v>
          </cell>
          <cell r="O77" t="str">
            <v>单涛</v>
          </cell>
          <cell r="P77" t="str">
            <v>单涛</v>
          </cell>
          <cell r="Q77" t="str">
            <v/>
          </cell>
          <cell r="R77" t="str">
            <v>否</v>
          </cell>
          <cell r="S77" t="str">
            <v/>
          </cell>
          <cell r="T77" t="str">
            <v/>
          </cell>
          <cell r="U77" t="str">
            <v/>
          </cell>
          <cell r="V77" t="str">
            <v/>
          </cell>
          <cell r="W77" t="str">
            <v/>
          </cell>
          <cell r="X77" t="str">
            <v/>
          </cell>
          <cell r="Y77" t="str">
            <v>1300100134</v>
          </cell>
          <cell r="Z77" t="str">
            <v>JMS2</v>
          </cell>
          <cell r="AA77" t="str">
            <v>6975925240609</v>
          </cell>
          <cell r="AB77">
            <v>22</v>
          </cell>
          <cell r="AC77">
            <v>15</v>
          </cell>
          <cell r="AD77">
            <v>7</v>
          </cell>
          <cell r="AE77">
            <v>2310</v>
          </cell>
          <cell r="AF77" t="str">
            <v>cm³</v>
          </cell>
          <cell r="AG77">
            <v>0.65</v>
          </cell>
          <cell r="AH77" t="str">
            <v>kg</v>
          </cell>
          <cell r="AI77">
            <v>559.2</v>
          </cell>
          <cell r="AJ77" t="str">
            <v>9031499000</v>
          </cell>
          <cell r="AK77" t="str">
            <v>13.2KGS,16PCS/CTNS,外箱：44*33*31cm
出卢森堡申报单价：646.09USD</v>
          </cell>
        </row>
        <row r="78">
          <cell r="A78">
            <v>1300100086</v>
          </cell>
          <cell r="B78" t="str">
            <v>三维扫描仪Seal Lite基础款(美规)</v>
          </cell>
          <cell r="C78" t="str">
            <v>3D Scanner Seal Lite Standard(US)</v>
          </cell>
          <cell r="D78" t="str">
            <v>台</v>
          </cell>
          <cell r="E78" t="str">
            <v>6975925240654</v>
          </cell>
          <cell r="F78" t="str">
            <v>Seal Lite基础款（美规）</v>
          </cell>
          <cell r="G78" t="str">
            <v>3DMakerpro</v>
          </cell>
          <cell r="H78" t="str">
            <v>三维扫描仪-JMS1</v>
          </cell>
          <cell r="I78" t="str">
            <v>否</v>
          </cell>
          <cell r="J78" t="str">
            <v>否</v>
          </cell>
          <cell r="K78" t="str">
            <v>深圳积木易搭科技技术有限公司</v>
          </cell>
          <cell r="L78" t="str">
            <v/>
          </cell>
          <cell r="M78" t="str">
            <v>2023-09-12 16:50:17</v>
          </cell>
          <cell r="N78" t="str">
            <v>2025-01-14 13:44:19</v>
          </cell>
          <cell r="O78" t="str">
            <v>单涛</v>
          </cell>
          <cell r="P78" t="str">
            <v>单涛</v>
          </cell>
          <cell r="Q78" t="str">
            <v/>
          </cell>
          <cell r="R78" t="str">
            <v>否</v>
          </cell>
          <cell r="S78" t="str">
            <v>10KGS,12PCS/CTNS,外箱：44*33*31cm（带布包）</v>
          </cell>
          <cell r="T78" t="str">
            <v/>
          </cell>
          <cell r="U78" t="str">
            <v/>
          </cell>
          <cell r="V78" t="str">
            <v/>
          </cell>
          <cell r="W78" t="str">
            <v/>
          </cell>
          <cell r="X78" t="str">
            <v/>
          </cell>
          <cell r="Y78" t="str">
            <v>1300100086</v>
          </cell>
          <cell r="Z78" t="str">
            <v>JMS1</v>
          </cell>
          <cell r="AA78" t="str">
            <v>6975925240654</v>
          </cell>
          <cell r="AB78">
            <v>22</v>
          </cell>
          <cell r="AC78">
            <v>15</v>
          </cell>
          <cell r="AD78">
            <v>7</v>
          </cell>
          <cell r="AE78">
            <v>2310</v>
          </cell>
          <cell r="AF78" t="str">
            <v>cm³</v>
          </cell>
          <cell r="AG78">
            <v>0.65</v>
          </cell>
          <cell r="AH78" t="str">
            <v>kg</v>
          </cell>
          <cell r="AI78">
            <v>287.2</v>
          </cell>
          <cell r="AJ78" t="str">
            <v>9031499000</v>
          </cell>
          <cell r="AK78" t="str">
            <v>12.3KGS,16PCS/CTN,外箱：44*33*31cm</v>
          </cell>
        </row>
        <row r="79">
          <cell r="A79">
            <v>1300100123</v>
          </cell>
          <cell r="B79" t="str">
            <v>三维扫描仪Seal Lite基础款(美澳)</v>
          </cell>
          <cell r="C79" t="str">
            <v>3D Scanner Seal Lite Standard(US/AU)</v>
          </cell>
          <cell r="D79" t="str">
            <v>台</v>
          </cell>
          <cell r="E79" t="str">
            <v>6975925240661</v>
          </cell>
          <cell r="F79" t="str">
            <v>Seal Lite基础款（美澳）</v>
          </cell>
          <cell r="G79" t="str">
            <v>3DMakerpro</v>
          </cell>
          <cell r="H79" t="str">
            <v>三维扫描仪-JMS1</v>
          </cell>
          <cell r="I79" t="str">
            <v>否</v>
          </cell>
          <cell r="J79" t="str">
            <v>否</v>
          </cell>
          <cell r="K79" t="str">
            <v>深圳积木易搭科技技术有限公司</v>
          </cell>
          <cell r="L79" t="str">
            <v/>
          </cell>
          <cell r="M79" t="str">
            <v>2023-09-12 17:52:28</v>
          </cell>
          <cell r="N79" t="str">
            <v>2025-01-14 13:44:34</v>
          </cell>
          <cell r="O79" t="str">
            <v>单涛</v>
          </cell>
          <cell r="P79" t="str">
            <v>单涛</v>
          </cell>
          <cell r="Q79" t="str">
            <v/>
          </cell>
          <cell r="R79" t="str">
            <v>否</v>
          </cell>
          <cell r="S79" t="str">
            <v>10KGS,12PCS/CTNS,外箱：44*33*31cm（带布包）</v>
          </cell>
          <cell r="T79" t="str">
            <v/>
          </cell>
          <cell r="U79" t="str">
            <v/>
          </cell>
          <cell r="V79" t="str">
            <v/>
          </cell>
          <cell r="W79" t="str">
            <v/>
          </cell>
          <cell r="X79" t="str">
            <v/>
          </cell>
          <cell r="Y79" t="str">
            <v>1300100123</v>
          </cell>
          <cell r="Z79" t="str">
            <v>JMS1</v>
          </cell>
          <cell r="AA79" t="str">
            <v>6975925240661</v>
          </cell>
          <cell r="AB79">
            <v>22</v>
          </cell>
          <cell r="AC79">
            <v>15</v>
          </cell>
          <cell r="AD79">
            <v>7</v>
          </cell>
          <cell r="AE79">
            <v>2310</v>
          </cell>
          <cell r="AF79" t="str">
            <v>cm³</v>
          </cell>
          <cell r="AG79">
            <v>0.65</v>
          </cell>
          <cell r="AH79" t="str">
            <v>kg</v>
          </cell>
          <cell r="AI79">
            <v>287.2</v>
          </cell>
          <cell r="AJ79" t="str">
            <v>9031499000</v>
          </cell>
          <cell r="AK79" t="str">
            <v>12.3KGS,16PCS/CTN,外箱：44*33*31cm</v>
          </cell>
        </row>
        <row r="80">
          <cell r="A80">
            <v>1300100124</v>
          </cell>
          <cell r="B80" t="str">
            <v>三维扫描仪Seal Lite基础款(美英)</v>
          </cell>
          <cell r="C80" t="str">
            <v>3D Scanner Seal Lite Standard(US/UK)</v>
          </cell>
          <cell r="D80" t="str">
            <v>台</v>
          </cell>
          <cell r="E80" t="str">
            <v>6975925240678</v>
          </cell>
          <cell r="F80" t="str">
            <v>Seal Lite基础款（美英）</v>
          </cell>
          <cell r="G80" t="str">
            <v>3DMakerpro</v>
          </cell>
          <cell r="H80" t="str">
            <v>三维扫描仪-JMS1</v>
          </cell>
          <cell r="I80" t="str">
            <v>否</v>
          </cell>
          <cell r="J80" t="str">
            <v>否</v>
          </cell>
          <cell r="K80" t="str">
            <v>深圳积木易搭科技技术有限公司</v>
          </cell>
          <cell r="L80" t="str">
            <v/>
          </cell>
          <cell r="M80" t="str">
            <v>2023-09-12 17:55:18</v>
          </cell>
          <cell r="N80" t="str">
            <v>2025-01-14 13:44:42</v>
          </cell>
          <cell r="O80" t="str">
            <v>单涛</v>
          </cell>
          <cell r="P80" t="str">
            <v>单涛</v>
          </cell>
          <cell r="Q80" t="str">
            <v/>
          </cell>
          <cell r="R80" t="str">
            <v>否</v>
          </cell>
          <cell r="S80" t="str">
            <v>10KGS,12PCS/CTNS,外箱：44*33*31cm（带布包）</v>
          </cell>
          <cell r="T80" t="str">
            <v/>
          </cell>
          <cell r="U80" t="str">
            <v/>
          </cell>
          <cell r="V80" t="str">
            <v/>
          </cell>
          <cell r="W80" t="str">
            <v/>
          </cell>
          <cell r="X80" t="str">
            <v/>
          </cell>
          <cell r="Y80" t="str">
            <v>1300100124</v>
          </cell>
          <cell r="Z80" t="str">
            <v>JMS1</v>
          </cell>
          <cell r="AA80" t="str">
            <v>6975925240678</v>
          </cell>
          <cell r="AB80">
            <v>22</v>
          </cell>
          <cell r="AC80">
            <v>15</v>
          </cell>
          <cell r="AD80">
            <v>7</v>
          </cell>
          <cell r="AE80">
            <v>2310</v>
          </cell>
          <cell r="AF80" t="str">
            <v>cm³</v>
          </cell>
          <cell r="AG80">
            <v>0.65</v>
          </cell>
          <cell r="AH80" t="str">
            <v>kg</v>
          </cell>
          <cell r="AI80">
            <v>287.2</v>
          </cell>
          <cell r="AJ80" t="str">
            <v>9031499000</v>
          </cell>
          <cell r="AK80" t="str">
            <v>12.3KGS,16PCS/CTN,外箱：44*33*31cm</v>
          </cell>
        </row>
        <row r="81">
          <cell r="A81">
            <v>1300100125</v>
          </cell>
          <cell r="B81" t="str">
            <v>三维扫描仪Seal Lite基础款(美欧)</v>
          </cell>
          <cell r="C81" t="str">
            <v>3D Scanner Seal Lite Standard(US/EU)</v>
          </cell>
          <cell r="D81" t="str">
            <v>台</v>
          </cell>
          <cell r="E81" t="str">
            <v>6975925240685</v>
          </cell>
          <cell r="F81" t="str">
            <v>Seal Lite基础款（美欧）</v>
          </cell>
          <cell r="G81" t="str">
            <v>3DMakerpro</v>
          </cell>
          <cell r="H81" t="str">
            <v>三维扫描仪-JMS1</v>
          </cell>
          <cell r="I81" t="str">
            <v>否</v>
          </cell>
          <cell r="J81" t="str">
            <v>否</v>
          </cell>
          <cell r="K81" t="str">
            <v>深圳积木易搭科技技术有限公司</v>
          </cell>
          <cell r="L81" t="str">
            <v/>
          </cell>
          <cell r="M81" t="str">
            <v>2023-09-12 17:57:40</v>
          </cell>
          <cell r="N81" t="str">
            <v>2025-01-14 13:45:03</v>
          </cell>
          <cell r="O81" t="str">
            <v>单涛</v>
          </cell>
          <cell r="P81" t="str">
            <v>单涛</v>
          </cell>
          <cell r="Q81" t="str">
            <v/>
          </cell>
          <cell r="R81" t="str">
            <v>否</v>
          </cell>
          <cell r="S81" t="str">
            <v>10KGS,12PCS/CTNS,外箱：44*33*31cm（带布包）</v>
          </cell>
          <cell r="T81" t="str">
            <v/>
          </cell>
          <cell r="U81" t="str">
            <v/>
          </cell>
          <cell r="V81" t="str">
            <v/>
          </cell>
          <cell r="W81" t="str">
            <v/>
          </cell>
          <cell r="X81" t="str">
            <v/>
          </cell>
          <cell r="Y81" t="str">
            <v>1300100125</v>
          </cell>
          <cell r="Z81" t="str">
            <v>JMS1</v>
          </cell>
          <cell r="AA81" t="str">
            <v>6975925240685</v>
          </cell>
          <cell r="AB81">
            <v>22</v>
          </cell>
          <cell r="AC81">
            <v>15</v>
          </cell>
          <cell r="AD81">
            <v>7</v>
          </cell>
          <cell r="AE81">
            <v>2310</v>
          </cell>
          <cell r="AF81" t="str">
            <v>cm³</v>
          </cell>
          <cell r="AG81">
            <v>0.65</v>
          </cell>
          <cell r="AH81" t="str">
            <v>kg</v>
          </cell>
          <cell r="AI81">
            <v>287.2</v>
          </cell>
          <cell r="AJ81" t="str">
            <v>9031499000</v>
          </cell>
          <cell r="AK81" t="str">
            <v>12.3KGS,16PCS/CTN,外箱：44*33*31cm
出卢森堡申报单价：333.91USD</v>
          </cell>
        </row>
        <row r="82">
          <cell r="A82">
            <v>1300100179</v>
          </cell>
          <cell r="B82" t="str">
            <v>三维扫描仪Seal升级款(美规)</v>
          </cell>
          <cell r="C82" t="str">
            <v>3D Scanner Seal Premium(US)</v>
          </cell>
          <cell r="D82" t="str">
            <v>台</v>
          </cell>
          <cell r="E82" t="str">
            <v>6975925240616</v>
          </cell>
          <cell r="F82" t="str">
            <v>Seal升级款(美规)</v>
          </cell>
          <cell r="G82" t="str">
            <v>3DMakerpro</v>
          </cell>
          <cell r="H82" t="str">
            <v>三维扫描仪-JMS2</v>
          </cell>
          <cell r="I82" t="str">
            <v>否</v>
          </cell>
          <cell r="J82" t="str">
            <v>否</v>
          </cell>
          <cell r="K82" t="str">
            <v>深圳积木易搭科技技术有限公司</v>
          </cell>
          <cell r="L82" t="str">
            <v/>
          </cell>
          <cell r="M82" t="str">
            <v>2024-06-12 16:39:48</v>
          </cell>
          <cell r="N82" t="str">
            <v>2025-01-14 13:45:46</v>
          </cell>
          <cell r="O82" t="str">
            <v>单涛</v>
          </cell>
          <cell r="P82" t="str">
            <v>单涛</v>
          </cell>
          <cell r="Q82" t="str">
            <v/>
          </cell>
          <cell r="R82" t="str">
            <v>否</v>
          </cell>
          <cell r="S82" t="str">
            <v/>
          </cell>
          <cell r="T82" t="str">
            <v/>
          </cell>
          <cell r="U82" t="str">
            <v/>
          </cell>
          <cell r="V82" t="str">
            <v/>
          </cell>
          <cell r="W82" t="str">
            <v/>
          </cell>
          <cell r="X82" t="str">
            <v/>
          </cell>
          <cell r="Y82" t="str">
            <v>1300100179</v>
          </cell>
          <cell r="Z82" t="str">
            <v>JMS2</v>
          </cell>
          <cell r="AA82" t="str">
            <v>6975925240616</v>
          </cell>
          <cell r="AB82">
            <v>27</v>
          </cell>
          <cell r="AC82">
            <v>26</v>
          </cell>
          <cell r="AD82">
            <v>10</v>
          </cell>
          <cell r="AE82">
            <v>7020</v>
          </cell>
          <cell r="AF82" t="str">
            <v>cm³</v>
          </cell>
          <cell r="AG82">
            <v>1.66</v>
          </cell>
          <cell r="AH82" t="str">
            <v>kg</v>
          </cell>
          <cell r="AI82">
            <v>607.2</v>
          </cell>
          <cell r="AJ82" t="str">
            <v>9031499000</v>
          </cell>
          <cell r="AK82" t="str">
            <v>11.2KGS，6PCS/CTN，49*41*36cm</v>
          </cell>
        </row>
        <row r="83">
          <cell r="A83">
            <v>1300100180</v>
          </cell>
          <cell r="B83" t="str">
            <v>三维扫描仪Seal升级款(美澳)</v>
          </cell>
          <cell r="C83" t="str">
            <v>3D Scanner Seal Premium(US/AU)</v>
          </cell>
          <cell r="D83" t="str">
            <v>台</v>
          </cell>
          <cell r="E83" t="str">
            <v>6975925240623</v>
          </cell>
          <cell r="F83" t="str">
            <v>Seal升级款(美澳)</v>
          </cell>
          <cell r="G83" t="str">
            <v>3DMakerpro</v>
          </cell>
          <cell r="H83" t="str">
            <v>三维扫描仪-JMS2</v>
          </cell>
          <cell r="I83" t="str">
            <v>否</v>
          </cell>
          <cell r="J83" t="str">
            <v>否</v>
          </cell>
          <cell r="K83" t="str">
            <v>深圳积木易搭科技技术有限公司</v>
          </cell>
          <cell r="L83" t="str">
            <v/>
          </cell>
          <cell r="M83" t="str">
            <v>2024-06-12 16:42:24</v>
          </cell>
          <cell r="N83" t="str">
            <v>2025-01-14 13:45:55</v>
          </cell>
          <cell r="O83" t="str">
            <v>单涛</v>
          </cell>
          <cell r="P83" t="str">
            <v>单涛</v>
          </cell>
          <cell r="Q83" t="str">
            <v/>
          </cell>
          <cell r="R83" t="str">
            <v>否</v>
          </cell>
          <cell r="S83" t="str">
            <v/>
          </cell>
          <cell r="T83" t="str">
            <v/>
          </cell>
          <cell r="U83" t="str">
            <v/>
          </cell>
          <cell r="V83" t="str">
            <v/>
          </cell>
          <cell r="W83" t="str">
            <v/>
          </cell>
          <cell r="X83" t="str">
            <v/>
          </cell>
          <cell r="Y83" t="str">
            <v>1300100180</v>
          </cell>
          <cell r="Z83" t="str">
            <v>JMS2</v>
          </cell>
          <cell r="AA83" t="str">
            <v>6975925240623</v>
          </cell>
          <cell r="AB83">
            <v>27</v>
          </cell>
          <cell r="AC83">
            <v>26</v>
          </cell>
          <cell r="AD83">
            <v>10</v>
          </cell>
          <cell r="AE83">
            <v>7020</v>
          </cell>
          <cell r="AF83" t="str">
            <v>cm³</v>
          </cell>
          <cell r="AG83">
            <v>1.66</v>
          </cell>
          <cell r="AH83" t="str">
            <v>kg</v>
          </cell>
          <cell r="AI83">
            <v>607.2</v>
          </cell>
          <cell r="AJ83" t="str">
            <v>9031499000</v>
          </cell>
          <cell r="AK83" t="str">
            <v>11.2KGS，6PCS/CTN，49*41*36cm</v>
          </cell>
        </row>
        <row r="84">
          <cell r="A84">
            <v>1300100181</v>
          </cell>
          <cell r="B84" t="str">
            <v>三维扫描仪Seal升级款(美英)</v>
          </cell>
          <cell r="C84" t="str">
            <v>3D Scanner Seal Premium(US/UK)</v>
          </cell>
          <cell r="D84" t="str">
            <v>台</v>
          </cell>
          <cell r="E84" t="str">
            <v>6975925240630</v>
          </cell>
          <cell r="F84" t="str">
            <v>Seal升级款(美英)</v>
          </cell>
          <cell r="G84" t="str">
            <v>3DMakerpro</v>
          </cell>
          <cell r="H84" t="str">
            <v>三维扫描仪-JMS2</v>
          </cell>
          <cell r="I84" t="str">
            <v>否</v>
          </cell>
          <cell r="J84" t="str">
            <v>否</v>
          </cell>
          <cell r="K84" t="str">
            <v>深圳积木易搭科技技术有限公司</v>
          </cell>
          <cell r="L84" t="str">
            <v/>
          </cell>
          <cell r="M84" t="str">
            <v>2024-06-12 16:46:26</v>
          </cell>
          <cell r="N84" t="str">
            <v>2025-01-14 13:46:03</v>
          </cell>
          <cell r="O84" t="str">
            <v>单涛</v>
          </cell>
          <cell r="P84" t="str">
            <v>单涛</v>
          </cell>
          <cell r="Q84" t="str">
            <v/>
          </cell>
          <cell r="R84" t="str">
            <v>否</v>
          </cell>
          <cell r="S84" t="str">
            <v/>
          </cell>
          <cell r="T84" t="str">
            <v/>
          </cell>
          <cell r="U84" t="str">
            <v/>
          </cell>
          <cell r="V84" t="str">
            <v/>
          </cell>
          <cell r="W84" t="str">
            <v/>
          </cell>
          <cell r="X84" t="str">
            <v/>
          </cell>
          <cell r="Y84" t="str">
            <v>1300100181</v>
          </cell>
          <cell r="Z84" t="str">
            <v>JMS2</v>
          </cell>
          <cell r="AA84" t="str">
            <v>6975925240630</v>
          </cell>
          <cell r="AB84">
            <v>27</v>
          </cell>
          <cell r="AC84">
            <v>26</v>
          </cell>
          <cell r="AD84">
            <v>10</v>
          </cell>
          <cell r="AE84">
            <v>7020</v>
          </cell>
          <cell r="AF84" t="str">
            <v>cm³</v>
          </cell>
          <cell r="AG84">
            <v>1.66</v>
          </cell>
          <cell r="AH84" t="str">
            <v>kg</v>
          </cell>
          <cell r="AI84">
            <v>607.2</v>
          </cell>
          <cell r="AJ84" t="str">
            <v>9031499000</v>
          </cell>
          <cell r="AK84" t="str">
            <v>11.2KGS，6PCS/CTN，49*41*36cm</v>
          </cell>
        </row>
        <row r="85">
          <cell r="A85">
            <v>1300100182</v>
          </cell>
          <cell r="B85" t="str">
            <v>三维扫描仪Seal升级款(美欧)</v>
          </cell>
          <cell r="C85" t="str">
            <v>3D Scanner Seal Premium(US/EU)</v>
          </cell>
          <cell r="D85" t="str">
            <v>台</v>
          </cell>
          <cell r="E85" t="str">
            <v>6975925240647</v>
          </cell>
          <cell r="F85" t="str">
            <v>Seal升级款(美欧)</v>
          </cell>
          <cell r="G85" t="str">
            <v>3DMakerpro</v>
          </cell>
          <cell r="H85" t="str">
            <v>三维扫描仪-JMS2</v>
          </cell>
          <cell r="I85" t="str">
            <v>否</v>
          </cell>
          <cell r="J85" t="str">
            <v>否</v>
          </cell>
          <cell r="K85" t="str">
            <v>深圳积木易搭科技技术有限公司</v>
          </cell>
          <cell r="L85" t="str">
            <v/>
          </cell>
          <cell r="M85" t="str">
            <v>2024-06-12 16:47:59</v>
          </cell>
          <cell r="N85" t="str">
            <v>2025-01-14 13:46:13</v>
          </cell>
          <cell r="O85" t="str">
            <v>单涛</v>
          </cell>
          <cell r="P85" t="str">
            <v>单涛</v>
          </cell>
          <cell r="Q85" t="str">
            <v/>
          </cell>
          <cell r="R85" t="str">
            <v>否</v>
          </cell>
          <cell r="S85" t="str">
            <v/>
          </cell>
          <cell r="T85" t="str">
            <v/>
          </cell>
          <cell r="U85" t="str">
            <v/>
          </cell>
          <cell r="V85" t="str">
            <v/>
          </cell>
          <cell r="W85" t="str">
            <v/>
          </cell>
          <cell r="X85" t="str">
            <v/>
          </cell>
          <cell r="Y85" t="str">
            <v>1300100182</v>
          </cell>
          <cell r="Z85" t="str">
            <v>JMS2</v>
          </cell>
          <cell r="AA85" t="str">
            <v>6975925240647</v>
          </cell>
          <cell r="AB85">
            <v>27</v>
          </cell>
          <cell r="AC85">
            <v>26</v>
          </cell>
          <cell r="AD85">
            <v>10</v>
          </cell>
          <cell r="AE85">
            <v>7020</v>
          </cell>
          <cell r="AF85" t="str">
            <v>cm³</v>
          </cell>
          <cell r="AG85">
            <v>1.66</v>
          </cell>
          <cell r="AH85" t="str">
            <v>kg</v>
          </cell>
          <cell r="AI85">
            <v>607.2</v>
          </cell>
          <cell r="AJ85" t="str">
            <v>9031499000</v>
          </cell>
          <cell r="AK85" t="str">
            <v>11.2KGS，6PCS/CTN，49*41*36cm
出卢森堡申报单价：699.44USD</v>
          </cell>
        </row>
        <row r="86">
          <cell r="A86">
            <v>1300100183</v>
          </cell>
          <cell r="B86" t="str">
            <v>三维扫描仪Seal Lite升级款(美规)</v>
          </cell>
          <cell r="C86" t="str">
            <v>3D Scanner Seal Lite Premium(US)</v>
          </cell>
          <cell r="D86" t="str">
            <v>台</v>
          </cell>
          <cell r="E86" t="str">
            <v>6975925240692</v>
          </cell>
          <cell r="F86" t="str">
            <v>Seal Lite升级款(美规)</v>
          </cell>
          <cell r="G86" t="str">
            <v>3DMakerpro</v>
          </cell>
          <cell r="H86" t="str">
            <v>三维扫描仪-JMS1</v>
          </cell>
          <cell r="I86" t="str">
            <v>否</v>
          </cell>
          <cell r="J86" t="str">
            <v>否</v>
          </cell>
          <cell r="K86" t="str">
            <v>深圳积木易搭科技技术有限公司</v>
          </cell>
          <cell r="L86" t="str">
            <v/>
          </cell>
          <cell r="M86" t="str">
            <v>2024-06-12 16:19:11</v>
          </cell>
          <cell r="N86" t="str">
            <v>2025-01-14 13:46:22</v>
          </cell>
          <cell r="O86" t="str">
            <v>单涛</v>
          </cell>
          <cell r="P86" t="str">
            <v>单涛</v>
          </cell>
          <cell r="Q86" t="str">
            <v/>
          </cell>
          <cell r="R86" t="str">
            <v>否</v>
          </cell>
          <cell r="S86" t="str">
            <v/>
          </cell>
          <cell r="T86" t="str">
            <v/>
          </cell>
          <cell r="U86" t="str">
            <v/>
          </cell>
          <cell r="V86" t="str">
            <v/>
          </cell>
          <cell r="W86" t="str">
            <v/>
          </cell>
          <cell r="X86" t="str">
            <v/>
          </cell>
          <cell r="Y86" t="str">
            <v>1300100183</v>
          </cell>
          <cell r="Z86" t="str">
            <v>JMS1</v>
          </cell>
          <cell r="AA86" t="str">
            <v>6975925240692</v>
          </cell>
          <cell r="AB86">
            <v>27</v>
          </cell>
          <cell r="AC86">
            <v>26</v>
          </cell>
          <cell r="AD86">
            <v>10</v>
          </cell>
          <cell r="AE86">
            <v>7020</v>
          </cell>
          <cell r="AF86" t="str">
            <v>cm³</v>
          </cell>
          <cell r="AG86">
            <v>1.66</v>
          </cell>
          <cell r="AH86" t="str">
            <v>g</v>
          </cell>
          <cell r="AI86">
            <v>335.2</v>
          </cell>
          <cell r="AJ86" t="str">
            <v>9031499000</v>
          </cell>
          <cell r="AK86" t="str">
            <v>11.2KGS，6PCS/CTN，49*41*36cm</v>
          </cell>
        </row>
        <row r="87">
          <cell r="A87">
            <v>1300100184</v>
          </cell>
          <cell r="B87" t="str">
            <v>三维扫描仪Seal Lite升级款(美澳)</v>
          </cell>
          <cell r="C87" t="str">
            <v>3D Scanner Seal Lite Premium(US/AU)</v>
          </cell>
          <cell r="D87" t="str">
            <v>台</v>
          </cell>
          <cell r="E87" t="str">
            <v>6975925240708</v>
          </cell>
          <cell r="F87" t="str">
            <v>Seal Lite升级款(美澳)</v>
          </cell>
          <cell r="G87" t="str">
            <v>3DMakerpro</v>
          </cell>
          <cell r="H87" t="str">
            <v>三维扫描仪-JMS1</v>
          </cell>
          <cell r="I87" t="str">
            <v>否</v>
          </cell>
          <cell r="J87" t="str">
            <v>否</v>
          </cell>
          <cell r="K87" t="str">
            <v>深圳积木易搭科技技术有限公司</v>
          </cell>
          <cell r="L87" t="str">
            <v/>
          </cell>
          <cell r="M87" t="str">
            <v>2024-06-12 16:50:15</v>
          </cell>
          <cell r="N87" t="str">
            <v>2025-01-14 13:46:30</v>
          </cell>
          <cell r="O87" t="str">
            <v>单涛</v>
          </cell>
          <cell r="P87" t="str">
            <v>单涛</v>
          </cell>
          <cell r="Q87" t="str">
            <v/>
          </cell>
          <cell r="R87" t="str">
            <v>否</v>
          </cell>
          <cell r="S87" t="str">
            <v/>
          </cell>
          <cell r="T87" t="str">
            <v/>
          </cell>
          <cell r="U87" t="str">
            <v/>
          </cell>
          <cell r="V87" t="str">
            <v/>
          </cell>
          <cell r="W87" t="str">
            <v/>
          </cell>
          <cell r="X87" t="str">
            <v/>
          </cell>
          <cell r="Y87" t="str">
            <v>1300100184</v>
          </cell>
          <cell r="Z87" t="str">
            <v>JMS1</v>
          </cell>
          <cell r="AA87" t="str">
            <v>6975925240708</v>
          </cell>
          <cell r="AB87">
            <v>27</v>
          </cell>
          <cell r="AC87">
            <v>26</v>
          </cell>
          <cell r="AD87">
            <v>10</v>
          </cell>
          <cell r="AE87">
            <v>7020</v>
          </cell>
          <cell r="AF87" t="str">
            <v>cm³</v>
          </cell>
          <cell r="AG87">
            <v>1.66</v>
          </cell>
          <cell r="AH87" t="str">
            <v>kg</v>
          </cell>
          <cell r="AI87">
            <v>335.2</v>
          </cell>
          <cell r="AJ87" t="str">
            <v>9031499000</v>
          </cell>
          <cell r="AK87" t="str">
            <v>11.2KGS，6PCS/CTN，49*41*36cm</v>
          </cell>
        </row>
        <row r="88">
          <cell r="A88">
            <v>1300100185</v>
          </cell>
          <cell r="B88" t="str">
            <v>三维扫描仪Seal Lite升级款(美英)</v>
          </cell>
          <cell r="C88" t="str">
            <v>3D Scanner Seal Lite Premium(US/UK)</v>
          </cell>
          <cell r="D88" t="str">
            <v>台</v>
          </cell>
          <cell r="E88" t="str">
            <v>6975925240715</v>
          </cell>
          <cell r="F88" t="str">
            <v>Seal Lite升级款(美英)</v>
          </cell>
          <cell r="G88" t="str">
            <v>3DMakerpro</v>
          </cell>
          <cell r="H88" t="str">
            <v>三维扫描仪-JMS1</v>
          </cell>
          <cell r="I88" t="str">
            <v>否</v>
          </cell>
          <cell r="J88" t="str">
            <v>否</v>
          </cell>
          <cell r="K88" t="str">
            <v>深圳积木易搭科技技术有限公司</v>
          </cell>
          <cell r="L88" t="str">
            <v/>
          </cell>
          <cell r="M88" t="str">
            <v>2024-06-12 16:51:50</v>
          </cell>
          <cell r="N88" t="str">
            <v>2025-01-14 13:46:38</v>
          </cell>
          <cell r="O88" t="str">
            <v>单涛</v>
          </cell>
          <cell r="P88" t="str">
            <v>单涛</v>
          </cell>
          <cell r="Q88" t="str">
            <v/>
          </cell>
          <cell r="R88" t="str">
            <v>否</v>
          </cell>
          <cell r="S88" t="str">
            <v/>
          </cell>
          <cell r="T88" t="str">
            <v/>
          </cell>
          <cell r="U88" t="str">
            <v/>
          </cell>
          <cell r="V88" t="str">
            <v/>
          </cell>
          <cell r="W88" t="str">
            <v/>
          </cell>
          <cell r="X88" t="str">
            <v/>
          </cell>
          <cell r="Y88" t="str">
            <v>1300100185</v>
          </cell>
          <cell r="Z88" t="str">
            <v>JMS1</v>
          </cell>
          <cell r="AA88" t="str">
            <v>6975925240715</v>
          </cell>
          <cell r="AB88">
            <v>27</v>
          </cell>
          <cell r="AC88">
            <v>26</v>
          </cell>
          <cell r="AD88">
            <v>10</v>
          </cell>
          <cell r="AE88">
            <v>7020</v>
          </cell>
          <cell r="AF88" t="str">
            <v>cm³</v>
          </cell>
          <cell r="AG88">
            <v>1.66</v>
          </cell>
          <cell r="AH88" t="str">
            <v>kg</v>
          </cell>
          <cell r="AI88">
            <v>335.2</v>
          </cell>
          <cell r="AJ88" t="str">
            <v>9031499000</v>
          </cell>
          <cell r="AK88" t="str">
            <v>11.2KGS，6PCS/CTN，49*41*36cm</v>
          </cell>
        </row>
        <row r="89">
          <cell r="A89">
            <v>1300100186</v>
          </cell>
          <cell r="B89" t="str">
            <v>三维扫描仪Seal Lite升级款(美欧)</v>
          </cell>
          <cell r="C89" t="str">
            <v>3D Scanner Seal Lite Premium(US/EU)</v>
          </cell>
          <cell r="D89" t="str">
            <v>台</v>
          </cell>
          <cell r="E89" t="str">
            <v>6975925240722</v>
          </cell>
          <cell r="F89" t="str">
            <v>Seal Lite升级款(美欧)</v>
          </cell>
          <cell r="G89" t="str">
            <v>3DMakerpro</v>
          </cell>
          <cell r="H89" t="str">
            <v>三维扫描仪-JMS1</v>
          </cell>
          <cell r="I89" t="str">
            <v>否</v>
          </cell>
          <cell r="J89" t="str">
            <v>否</v>
          </cell>
          <cell r="K89" t="str">
            <v>深圳积木易搭科技技术有限公司</v>
          </cell>
          <cell r="L89" t="str">
            <v/>
          </cell>
          <cell r="M89" t="str">
            <v>2024-06-12 17:11:05</v>
          </cell>
          <cell r="N89" t="str">
            <v>2025-01-14 13:46:47</v>
          </cell>
          <cell r="O89" t="str">
            <v>单涛</v>
          </cell>
          <cell r="P89" t="str">
            <v>单涛</v>
          </cell>
          <cell r="Q89" t="str">
            <v/>
          </cell>
          <cell r="R89" t="str">
            <v>否</v>
          </cell>
          <cell r="S89" t="str">
            <v/>
          </cell>
          <cell r="T89" t="str">
            <v/>
          </cell>
          <cell r="U89" t="str">
            <v/>
          </cell>
          <cell r="V89" t="str">
            <v/>
          </cell>
          <cell r="W89" t="str">
            <v/>
          </cell>
          <cell r="X89" t="str">
            <v/>
          </cell>
          <cell r="Y89" t="str">
            <v>1300100186</v>
          </cell>
          <cell r="Z89" t="str">
            <v>JMS1</v>
          </cell>
          <cell r="AA89" t="str">
            <v>6975925240722</v>
          </cell>
          <cell r="AB89">
            <v>27</v>
          </cell>
          <cell r="AC89">
            <v>26</v>
          </cell>
          <cell r="AD89">
            <v>10</v>
          </cell>
          <cell r="AE89">
            <v>7020</v>
          </cell>
          <cell r="AF89" t="str">
            <v>cm³</v>
          </cell>
          <cell r="AG89">
            <v>1.66</v>
          </cell>
          <cell r="AH89" t="str">
            <v>kg</v>
          </cell>
          <cell r="AI89">
            <v>335.2</v>
          </cell>
          <cell r="AJ89" t="str">
            <v>9031499000</v>
          </cell>
          <cell r="AK89" t="str">
            <v>11.2KGS，6PCS/CTN，49*41*36cm
出卢森堡申报单价：408.01USD</v>
          </cell>
        </row>
        <row r="90">
          <cell r="A90">
            <v>1300100193</v>
          </cell>
          <cell r="B90" t="str">
            <v>三维扫描仪Seal豪华款(美欧)</v>
          </cell>
          <cell r="C90" t="str">
            <v>3D Scanner Seal Luxury(US/EU)</v>
          </cell>
          <cell r="D90" t="str">
            <v>台</v>
          </cell>
          <cell r="E90" t="str">
            <v>6975925241071</v>
          </cell>
          <cell r="F90" t="str">
            <v>Seal豪华款(美欧)</v>
          </cell>
          <cell r="G90" t="str">
            <v>3DMakerpro</v>
          </cell>
          <cell r="H90" t="str">
            <v>三维扫描仪-JMS2</v>
          </cell>
          <cell r="I90" t="str">
            <v>否</v>
          </cell>
          <cell r="J90" t="str">
            <v>否</v>
          </cell>
          <cell r="K90" t="str">
            <v>深圳积木易搭科技技术有限公司</v>
          </cell>
          <cell r="L90" t="str">
            <v/>
          </cell>
          <cell r="M90" t="str">
            <v>2024-09-05 14:42:49</v>
          </cell>
          <cell r="N90" t="str">
            <v>2025-02-21 18:26:39</v>
          </cell>
          <cell r="O90" t="str">
            <v>单涛</v>
          </cell>
          <cell r="P90" t="str">
            <v>单涛</v>
          </cell>
          <cell r="Q90" t="str">
            <v/>
          </cell>
          <cell r="R90" t="str">
            <v>否</v>
          </cell>
          <cell r="S90" t="str">
            <v/>
          </cell>
          <cell r="T90" t="str">
            <v/>
          </cell>
          <cell r="U90" t="str">
            <v/>
          </cell>
          <cell r="V90" t="str">
            <v/>
          </cell>
          <cell r="W90" t="str">
            <v/>
          </cell>
          <cell r="X90" t="str">
            <v/>
          </cell>
          <cell r="Y90" t="str">
            <v>1300100193</v>
          </cell>
          <cell r="Z90" t="str">
            <v>JMS2</v>
          </cell>
          <cell r="AA90" t="str">
            <v>6975925241071</v>
          </cell>
          <cell r="AB90" t="str">
            <v/>
          </cell>
          <cell r="AC90" t="str">
            <v/>
          </cell>
          <cell r="AD90" t="str">
            <v/>
          </cell>
          <cell r="AE90">
            <v>72324</v>
          </cell>
          <cell r="AF90" t="str">
            <v>cm³</v>
          </cell>
          <cell r="AG90" t="str">
            <v/>
          </cell>
          <cell r="AH90" t="str">
            <v/>
          </cell>
          <cell r="AI90">
            <v>798.4</v>
          </cell>
          <cell r="AJ90" t="str">
            <v>9031499000</v>
          </cell>
          <cell r="AK90" t="str">
            <v>5PCS/CTNS,14KGS,49*41*36cm
出卢森堡申报单价：</v>
          </cell>
        </row>
        <row r="91">
          <cell r="A91">
            <v>1300100192</v>
          </cell>
          <cell r="B91" t="str">
            <v>三维扫描仪Seal豪华款(美英)</v>
          </cell>
          <cell r="C91" t="str">
            <v>3D Scanner Seal Luxury(US/UK)</v>
          </cell>
          <cell r="D91" t="str">
            <v>台</v>
          </cell>
          <cell r="E91" t="str">
            <v>6975925241064</v>
          </cell>
          <cell r="F91" t="str">
            <v>Seal豪华款(美英)</v>
          </cell>
          <cell r="G91" t="str">
            <v>3DMakerpro</v>
          </cell>
          <cell r="H91" t="str">
            <v>三维扫描仪-JMS2</v>
          </cell>
          <cell r="I91" t="str">
            <v>否</v>
          </cell>
          <cell r="J91" t="str">
            <v>否</v>
          </cell>
          <cell r="K91" t="str">
            <v>深圳积木易搭科技技术有限公司</v>
          </cell>
          <cell r="L91" t="str">
            <v/>
          </cell>
          <cell r="M91" t="str">
            <v>2024-09-05 14:36:23</v>
          </cell>
          <cell r="N91" t="str">
            <v>2025-01-14 13:47:10</v>
          </cell>
          <cell r="O91" t="str">
            <v>单涛</v>
          </cell>
          <cell r="P91" t="str">
            <v>单涛</v>
          </cell>
          <cell r="Q91" t="str">
            <v/>
          </cell>
          <cell r="R91" t="str">
            <v>否</v>
          </cell>
          <cell r="S91" t="str">
            <v/>
          </cell>
          <cell r="T91" t="str">
            <v/>
          </cell>
          <cell r="U91" t="str">
            <v/>
          </cell>
          <cell r="V91" t="str">
            <v/>
          </cell>
          <cell r="W91" t="str">
            <v/>
          </cell>
          <cell r="X91" t="str">
            <v/>
          </cell>
          <cell r="Y91" t="str">
            <v>1300100192</v>
          </cell>
          <cell r="Z91" t="str">
            <v>JMS2</v>
          </cell>
          <cell r="AA91" t="str">
            <v>6975925241064</v>
          </cell>
          <cell r="AB91" t="str">
            <v/>
          </cell>
          <cell r="AC91" t="str">
            <v/>
          </cell>
          <cell r="AD91" t="str">
            <v/>
          </cell>
          <cell r="AE91" t="str">
            <v/>
          </cell>
          <cell r="AF91" t="str">
            <v/>
          </cell>
          <cell r="AG91" t="str">
            <v/>
          </cell>
          <cell r="AH91" t="str">
            <v/>
          </cell>
          <cell r="AI91">
            <v>798.4</v>
          </cell>
          <cell r="AJ91" t="str">
            <v>9031499000</v>
          </cell>
          <cell r="AK91" t="str">
            <v/>
          </cell>
        </row>
        <row r="92">
          <cell r="A92">
            <v>1300100191</v>
          </cell>
          <cell r="B92" t="str">
            <v>三维扫描仪Seal豪华款(美澳)</v>
          </cell>
          <cell r="C92" t="str">
            <v>3D Scanner Seal Luxury(US/AU)</v>
          </cell>
          <cell r="D92" t="str">
            <v>台</v>
          </cell>
          <cell r="E92" t="str">
            <v>6975925241057</v>
          </cell>
          <cell r="F92" t="str">
            <v>Seal豪华款(美澳)</v>
          </cell>
          <cell r="G92" t="str">
            <v>3DMakerpro</v>
          </cell>
          <cell r="H92" t="str">
            <v>三维扫描仪-JMS2</v>
          </cell>
          <cell r="I92" t="str">
            <v>否</v>
          </cell>
          <cell r="J92" t="str">
            <v>否</v>
          </cell>
          <cell r="K92" t="str">
            <v>深圳积木易搭科技技术有限公司</v>
          </cell>
          <cell r="L92" t="str">
            <v/>
          </cell>
          <cell r="M92" t="str">
            <v>2024-09-05 14:31:59</v>
          </cell>
          <cell r="N92" t="str">
            <v>2025-01-14 13:47:19</v>
          </cell>
          <cell r="O92" t="str">
            <v>单涛</v>
          </cell>
          <cell r="P92" t="str">
            <v>单涛</v>
          </cell>
          <cell r="Q92" t="str">
            <v/>
          </cell>
          <cell r="R92" t="str">
            <v>否</v>
          </cell>
          <cell r="S92" t="str">
            <v/>
          </cell>
          <cell r="T92" t="str">
            <v/>
          </cell>
          <cell r="U92" t="str">
            <v/>
          </cell>
          <cell r="V92" t="str">
            <v/>
          </cell>
          <cell r="W92" t="str">
            <v/>
          </cell>
          <cell r="X92" t="str">
            <v/>
          </cell>
          <cell r="Y92" t="str">
            <v>1300100191</v>
          </cell>
          <cell r="Z92" t="str">
            <v>JMS2</v>
          </cell>
          <cell r="AA92" t="str">
            <v>6975925241057</v>
          </cell>
          <cell r="AB92" t="str">
            <v/>
          </cell>
          <cell r="AC92" t="str">
            <v/>
          </cell>
          <cell r="AD92" t="str">
            <v/>
          </cell>
          <cell r="AE92" t="str">
            <v/>
          </cell>
          <cell r="AF92" t="str">
            <v/>
          </cell>
          <cell r="AG92" t="str">
            <v/>
          </cell>
          <cell r="AH92" t="str">
            <v/>
          </cell>
          <cell r="AI92">
            <v>798.4</v>
          </cell>
          <cell r="AJ92" t="str">
            <v>9031499000</v>
          </cell>
          <cell r="AK92" t="str">
            <v/>
          </cell>
        </row>
        <row r="93">
          <cell r="A93">
            <v>1300100200</v>
          </cell>
          <cell r="B93" t="str">
            <v>三维扫描仪Seal Lite豪华款(美欧)</v>
          </cell>
          <cell r="C93" t="str">
            <v>3D Scanner Seal Lite Luxury(US/EU)</v>
          </cell>
          <cell r="D93" t="str">
            <v>台</v>
          </cell>
          <cell r="E93" t="str">
            <v>6975925241149</v>
          </cell>
          <cell r="F93" t="str">
            <v>Seal Lite豪华款(美欧)</v>
          </cell>
          <cell r="G93" t="str">
            <v>3DMakerpro</v>
          </cell>
          <cell r="H93" t="str">
            <v>三维扫描仪-JMS1</v>
          </cell>
          <cell r="I93" t="str">
            <v>否</v>
          </cell>
          <cell r="J93" t="str">
            <v>否</v>
          </cell>
          <cell r="K93" t="str">
            <v>深圳积木易搭科技技术有限公司</v>
          </cell>
          <cell r="L93" t="str">
            <v/>
          </cell>
          <cell r="M93" t="str">
            <v>2024-09-10 11:15:57</v>
          </cell>
          <cell r="N93" t="str">
            <v>2025-01-14 13:47:31</v>
          </cell>
          <cell r="O93" t="str">
            <v>单涛</v>
          </cell>
          <cell r="P93" t="str">
            <v>单涛</v>
          </cell>
          <cell r="Q93" t="str">
            <v/>
          </cell>
          <cell r="R93" t="str">
            <v>否</v>
          </cell>
          <cell r="S93" t="str">
            <v/>
          </cell>
          <cell r="T93" t="str">
            <v/>
          </cell>
          <cell r="U93" t="str">
            <v/>
          </cell>
          <cell r="V93" t="str">
            <v/>
          </cell>
          <cell r="W93" t="str">
            <v/>
          </cell>
          <cell r="X93" t="str">
            <v/>
          </cell>
          <cell r="Y93" t="str">
            <v>1300100200</v>
          </cell>
          <cell r="Z93" t="str">
            <v>JMS1</v>
          </cell>
          <cell r="AA93" t="str">
            <v>6975925241149</v>
          </cell>
          <cell r="AB93" t="str">
            <v/>
          </cell>
          <cell r="AC93" t="str">
            <v/>
          </cell>
          <cell r="AD93" t="str">
            <v/>
          </cell>
          <cell r="AE93" t="str">
            <v/>
          </cell>
          <cell r="AF93" t="str">
            <v/>
          </cell>
          <cell r="AG93" t="str">
            <v/>
          </cell>
          <cell r="AH93" t="str">
            <v/>
          </cell>
          <cell r="AI93" t="str">
            <v/>
          </cell>
          <cell r="AJ93" t="str">
            <v>9031499000</v>
          </cell>
          <cell r="AK93" t="str">
            <v>出卢森堡申报单价：</v>
          </cell>
        </row>
        <row r="94">
          <cell r="A94">
            <v>1300100199</v>
          </cell>
          <cell r="B94" t="str">
            <v>三维扫描仪Seal Lite豪华款(美英)</v>
          </cell>
          <cell r="C94" t="str">
            <v>3D Scanner Seal Lite Luxury(US/UK)</v>
          </cell>
          <cell r="D94" t="str">
            <v>台</v>
          </cell>
          <cell r="E94" t="str">
            <v>6975925241156</v>
          </cell>
          <cell r="F94" t="str">
            <v>Seal Lite豪华款(美英)</v>
          </cell>
          <cell r="G94" t="str">
            <v>3DMakerpro</v>
          </cell>
          <cell r="H94" t="str">
            <v>三维扫描仪-JMS1</v>
          </cell>
          <cell r="I94" t="str">
            <v>否</v>
          </cell>
          <cell r="J94" t="str">
            <v>否</v>
          </cell>
          <cell r="K94" t="str">
            <v>深圳积木易搭科技技术有限公司</v>
          </cell>
          <cell r="L94" t="str">
            <v/>
          </cell>
          <cell r="M94" t="str">
            <v>2024-09-10 11:19:14</v>
          </cell>
          <cell r="N94" t="str">
            <v>2025-01-14 13:47:40</v>
          </cell>
          <cell r="O94" t="str">
            <v>单涛</v>
          </cell>
          <cell r="P94" t="str">
            <v>单涛</v>
          </cell>
          <cell r="Q94" t="str">
            <v/>
          </cell>
          <cell r="R94" t="str">
            <v>否</v>
          </cell>
          <cell r="S94" t="str">
            <v/>
          </cell>
          <cell r="T94" t="str">
            <v/>
          </cell>
          <cell r="U94" t="str">
            <v/>
          </cell>
          <cell r="V94" t="str">
            <v/>
          </cell>
          <cell r="W94" t="str">
            <v/>
          </cell>
          <cell r="X94" t="str">
            <v/>
          </cell>
          <cell r="Y94" t="str">
            <v>1300100199</v>
          </cell>
          <cell r="Z94" t="str">
            <v>JMS1</v>
          </cell>
          <cell r="AA94" t="str">
            <v>6975925241156</v>
          </cell>
          <cell r="AB94" t="str">
            <v/>
          </cell>
          <cell r="AC94" t="str">
            <v/>
          </cell>
          <cell r="AD94" t="str">
            <v/>
          </cell>
          <cell r="AE94" t="str">
            <v/>
          </cell>
          <cell r="AF94" t="str">
            <v/>
          </cell>
          <cell r="AG94" t="str">
            <v/>
          </cell>
          <cell r="AH94" t="str">
            <v/>
          </cell>
          <cell r="AI94" t="str">
            <v/>
          </cell>
          <cell r="AJ94" t="str">
            <v>9031499000</v>
          </cell>
          <cell r="AK94" t="str">
            <v/>
          </cell>
        </row>
        <row r="95">
          <cell r="A95">
            <v>1300100198</v>
          </cell>
          <cell r="B95" t="str">
            <v>三维扫描仪Seal Lite豪华款(美澳)</v>
          </cell>
          <cell r="C95" t="str">
            <v>3D Scanner Seal Lite Luxury(US/AU)</v>
          </cell>
          <cell r="D95" t="str">
            <v>台</v>
          </cell>
          <cell r="E95" t="str">
            <v>6975925241163</v>
          </cell>
          <cell r="F95" t="str">
            <v>Seal Lite豪华款(美澳)</v>
          </cell>
          <cell r="G95" t="str">
            <v>3DMakerpro</v>
          </cell>
          <cell r="H95" t="str">
            <v>三维扫描仪-JMS1</v>
          </cell>
          <cell r="I95" t="str">
            <v>否</v>
          </cell>
          <cell r="J95" t="str">
            <v>否</v>
          </cell>
          <cell r="K95" t="str">
            <v>深圳积木易搭科技技术有限公司</v>
          </cell>
          <cell r="L95" t="str">
            <v/>
          </cell>
          <cell r="M95" t="str">
            <v>2024-09-10 11:25:17</v>
          </cell>
          <cell r="N95" t="str">
            <v>2025-01-14 13:47:47</v>
          </cell>
          <cell r="O95" t="str">
            <v>单涛</v>
          </cell>
          <cell r="P95" t="str">
            <v>单涛</v>
          </cell>
          <cell r="Q95" t="str">
            <v/>
          </cell>
          <cell r="R95" t="str">
            <v>否</v>
          </cell>
          <cell r="S95" t="str">
            <v/>
          </cell>
          <cell r="T95" t="str">
            <v/>
          </cell>
          <cell r="U95" t="str">
            <v/>
          </cell>
          <cell r="V95" t="str">
            <v/>
          </cell>
          <cell r="W95" t="str">
            <v/>
          </cell>
          <cell r="X95" t="str">
            <v/>
          </cell>
          <cell r="Y95" t="str">
            <v>1300100198</v>
          </cell>
          <cell r="Z95" t="str">
            <v>JMS1</v>
          </cell>
          <cell r="AA95" t="str">
            <v>6975925241163</v>
          </cell>
          <cell r="AB95" t="str">
            <v/>
          </cell>
          <cell r="AC95" t="str">
            <v/>
          </cell>
          <cell r="AD95" t="str">
            <v/>
          </cell>
          <cell r="AE95" t="str">
            <v/>
          </cell>
          <cell r="AF95" t="str">
            <v/>
          </cell>
          <cell r="AG95" t="str">
            <v/>
          </cell>
          <cell r="AH95" t="str">
            <v/>
          </cell>
          <cell r="AI95" t="str">
            <v/>
          </cell>
          <cell r="AJ95" t="str">
            <v>9031499000</v>
          </cell>
          <cell r="AK95" t="str">
            <v/>
          </cell>
        </row>
        <row r="96">
          <cell r="A96">
            <v>1300100082</v>
          </cell>
          <cell r="B96" t="str">
            <v>三维扫描仪智能手柄</v>
          </cell>
          <cell r="C96" t="str">
            <v>3D Scanner Smart Grip</v>
          </cell>
          <cell r="D96" t="str">
            <v>台</v>
          </cell>
          <cell r="E96" t="str">
            <v>6975925240739</v>
          </cell>
          <cell r="F96" t="str">
            <v>Seal 智能手柄</v>
          </cell>
          <cell r="G96" t="str">
            <v>3DMakerpro</v>
          </cell>
          <cell r="H96" t="str">
            <v>三维扫描仪备品备件</v>
          </cell>
          <cell r="I96" t="str">
            <v>否</v>
          </cell>
          <cell r="J96" t="str">
            <v>否</v>
          </cell>
          <cell r="K96" t="str">
            <v>深圳积木易搭科技技术有限公司</v>
          </cell>
          <cell r="L96" t="str">
            <v/>
          </cell>
          <cell r="M96" t="str">
            <v>2023-07-14 18:06:12</v>
          </cell>
          <cell r="N96" t="str">
            <v>2024-10-17 15:40:25</v>
          </cell>
          <cell r="O96" t="str">
            <v>单涛</v>
          </cell>
          <cell r="P96" t="str">
            <v>单涛</v>
          </cell>
          <cell r="Q96" t="str">
            <v/>
          </cell>
          <cell r="R96" t="str">
            <v>否</v>
          </cell>
          <cell r="S96" t="str">
            <v/>
          </cell>
          <cell r="T96" t="str">
            <v/>
          </cell>
          <cell r="U96" t="str">
            <v/>
          </cell>
          <cell r="V96" t="str">
            <v/>
          </cell>
          <cell r="W96" t="str">
            <v/>
          </cell>
          <cell r="X96" t="str">
            <v/>
          </cell>
          <cell r="Y96" t="str">
            <v>1300100082</v>
          </cell>
          <cell r="Z96" t="str">
            <v>JMB1</v>
          </cell>
          <cell r="AA96" t="str">
            <v>6975925240739</v>
          </cell>
          <cell r="AB96">
            <v>31</v>
          </cell>
          <cell r="AC96">
            <v>14</v>
          </cell>
          <cell r="AD96">
            <v>7</v>
          </cell>
          <cell r="AE96">
            <v>3038</v>
          </cell>
          <cell r="AF96" t="str">
            <v>cm³</v>
          </cell>
          <cell r="AG96">
            <v>0.78</v>
          </cell>
          <cell r="AH96" t="str">
            <v>kg</v>
          </cell>
          <cell r="AI96">
            <v>191.2</v>
          </cell>
          <cell r="AJ96" t="str">
            <v>9006919900</v>
          </cell>
          <cell r="AK96" t="str">
            <v>12PCS/CTN,10.55KGS,44*33*31cm
出卢森堡申报单价：245.99USD</v>
          </cell>
        </row>
        <row r="97">
          <cell r="A97">
            <v>1021900174</v>
          </cell>
          <cell r="B97" t="str">
            <v>智能手柄数据线</v>
          </cell>
          <cell r="C97" t="str">
            <v>Cable for 3D Scanner Smart Grip</v>
          </cell>
          <cell r="D97" t="str">
            <v>根</v>
          </cell>
          <cell r="E97" t="str">
            <v>6975925241033</v>
          </cell>
          <cell r="F97" t="str">
            <v>智能手柄数据线</v>
          </cell>
          <cell r="G97" t="str">
            <v>3DMakerpro</v>
          </cell>
          <cell r="H97" t="str">
            <v>三维扫描仪备品备件</v>
          </cell>
          <cell r="I97" t="str">
            <v>否</v>
          </cell>
          <cell r="J97" t="str">
            <v>否</v>
          </cell>
          <cell r="K97" t="str">
            <v>深圳积木易搭科技技术有限公司</v>
          </cell>
          <cell r="L97" t="str">
            <v/>
          </cell>
          <cell r="M97" t="str">
            <v>2024-05-20 17:54:21</v>
          </cell>
          <cell r="N97" t="str">
            <v>2025-01-16 15:17:17</v>
          </cell>
          <cell r="O97" t="str">
            <v>单涛</v>
          </cell>
          <cell r="P97" t="str">
            <v>单涛</v>
          </cell>
          <cell r="Q97" t="str">
            <v/>
          </cell>
          <cell r="R97" t="str">
            <v>否</v>
          </cell>
          <cell r="S97" t="str">
            <v/>
          </cell>
          <cell r="T97" t="str">
            <v/>
          </cell>
          <cell r="U97" t="str">
            <v/>
          </cell>
          <cell r="V97" t="str">
            <v/>
          </cell>
          <cell r="W97" t="str">
            <v/>
          </cell>
          <cell r="X97" t="str">
            <v/>
          </cell>
          <cell r="Y97" t="str">
            <v>1021900174</v>
          </cell>
          <cell r="Z97" t="str">
            <v>-</v>
          </cell>
          <cell r="AA97" t="str">
            <v>6975925241033</v>
          </cell>
          <cell r="AB97">
            <v>18</v>
          </cell>
          <cell r="AC97">
            <v>15</v>
          </cell>
          <cell r="AD97">
            <v>1</v>
          </cell>
          <cell r="AE97">
            <v>270</v>
          </cell>
          <cell r="AF97" t="str">
            <v>cm³</v>
          </cell>
          <cell r="AG97">
            <v>0.026</v>
          </cell>
          <cell r="AH97" t="str">
            <v>kg</v>
          </cell>
          <cell r="AI97">
            <v>2.38</v>
          </cell>
          <cell r="AJ97" t="str">
            <v>8544421100</v>
          </cell>
          <cell r="AK97" t="str">
            <v>长度：20cm</v>
          </cell>
        </row>
        <row r="98">
          <cell r="A98">
            <v>1300100118</v>
          </cell>
          <cell r="B98" t="str">
            <v>Seal/Seal lite转台套餐</v>
          </cell>
          <cell r="C98" t="str">
            <v>Turntable for Seal/Seal Lite</v>
          </cell>
          <cell r="D98" t="str">
            <v>台</v>
          </cell>
          <cell r="E98" t="str">
            <v>6975925240746</v>
          </cell>
          <cell r="F98" t="str">
            <v>Seal/Seal Lite转台</v>
          </cell>
          <cell r="G98" t="str">
            <v>3DMakerpro</v>
          </cell>
          <cell r="H98" t="str">
            <v>三维扫描仪备品备件</v>
          </cell>
          <cell r="I98" t="str">
            <v>否</v>
          </cell>
          <cell r="J98" t="str">
            <v>否</v>
          </cell>
          <cell r="K98" t="str">
            <v>深圳积木易搭科技技术有限公司</v>
          </cell>
          <cell r="L98" t="str">
            <v/>
          </cell>
          <cell r="M98" t="str">
            <v>2023-09-13 11:25:28</v>
          </cell>
          <cell r="N98" t="str">
            <v>2024-12-24 17:23:36</v>
          </cell>
          <cell r="O98" t="str">
            <v>单涛</v>
          </cell>
          <cell r="P98" t="str">
            <v>单涛</v>
          </cell>
          <cell r="Q98" t="str">
            <v/>
          </cell>
          <cell r="R98" t="str">
            <v>否</v>
          </cell>
          <cell r="S98" t="str">
            <v>12PCS/CTN,7.6KGS,61*36*34cm 出卢森堡申报单价：38.53USD</v>
          </cell>
          <cell r="T98" t="str">
            <v/>
          </cell>
          <cell r="U98" t="str">
            <v/>
          </cell>
          <cell r="V98" t="str">
            <v/>
          </cell>
          <cell r="W98" t="str">
            <v/>
          </cell>
          <cell r="X98" t="str">
            <v/>
          </cell>
          <cell r="Y98" t="str">
            <v>1300100118</v>
          </cell>
          <cell r="Z98" t="str">
            <v>-</v>
          </cell>
          <cell r="AA98" t="str">
            <v>6975925240746</v>
          </cell>
          <cell r="AB98">
            <v>29</v>
          </cell>
          <cell r="AC98">
            <v>28</v>
          </cell>
          <cell r="AD98">
            <v>6</v>
          </cell>
          <cell r="AE98">
            <v>4872</v>
          </cell>
          <cell r="AF98" t="str">
            <v>cm³</v>
          </cell>
          <cell r="AG98">
            <v>0.45</v>
          </cell>
          <cell r="AH98" t="str">
            <v>kg</v>
          </cell>
          <cell r="AI98">
            <v>23.2</v>
          </cell>
          <cell r="AJ98" t="str">
            <v>9031900090</v>
          </cell>
          <cell r="AK98" t="str">
            <v>12PCS/CTN,7.6KGS,61*36*34cm
出卢森堡申报单价：38.53USD</v>
          </cell>
        </row>
        <row r="99">
          <cell r="A99">
            <v>1200100064</v>
          </cell>
          <cell r="B99" t="str">
            <v>Seal三脚架套装</v>
          </cell>
          <cell r="C99" t="str">
            <v>Tripod for Seal</v>
          </cell>
          <cell r="D99" t="str">
            <v>个</v>
          </cell>
          <cell r="E99" t="str">
            <v>6975925240753</v>
          </cell>
          <cell r="F99" t="str">
            <v>Seal三脚架</v>
          </cell>
          <cell r="G99" t="str">
            <v>3DMakerpro</v>
          </cell>
          <cell r="H99" t="str">
            <v>三维扫描仪备品备件</v>
          </cell>
          <cell r="I99" t="str">
            <v>否</v>
          </cell>
          <cell r="J99" t="str">
            <v>否</v>
          </cell>
          <cell r="K99" t="str">
            <v>深圳积木易搭科技技术有限公司</v>
          </cell>
          <cell r="L99" t="str">
            <v/>
          </cell>
          <cell r="M99" t="str">
            <v>2023-09-13 11:27:59</v>
          </cell>
          <cell r="N99" t="str">
            <v>2024-11-06 09:05:06</v>
          </cell>
          <cell r="O99" t="str">
            <v>单涛</v>
          </cell>
          <cell r="P99" t="str">
            <v>单涛</v>
          </cell>
          <cell r="Q99" t="str">
            <v/>
          </cell>
          <cell r="R99" t="str">
            <v>否</v>
          </cell>
          <cell r="S99" t="str">
            <v/>
          </cell>
          <cell r="T99" t="str">
            <v/>
          </cell>
          <cell r="U99" t="str">
            <v/>
          </cell>
          <cell r="V99" t="str">
            <v/>
          </cell>
          <cell r="W99" t="str">
            <v/>
          </cell>
          <cell r="X99" t="str">
            <v/>
          </cell>
          <cell r="Y99" t="str">
            <v>1200100064</v>
          </cell>
          <cell r="Z99" t="str">
            <v>-</v>
          </cell>
          <cell r="AA99" t="str">
            <v>6975925240753</v>
          </cell>
          <cell r="AB99">
            <v>5.4</v>
          </cell>
          <cell r="AC99">
            <v>15</v>
          </cell>
          <cell r="AD99">
            <v>5.3</v>
          </cell>
          <cell r="AE99">
            <v>429.3</v>
          </cell>
          <cell r="AF99" t="str">
            <v>cm³</v>
          </cell>
          <cell r="AG99">
            <v>0.15</v>
          </cell>
          <cell r="AH99" t="str">
            <v>kg</v>
          </cell>
          <cell r="AI99">
            <v>31.2</v>
          </cell>
          <cell r="AJ99" t="str">
            <v>9620009000</v>
          </cell>
          <cell r="AK99" t="str">
            <v>100PCS/CTN，14.8KGS/CN,61*36*34cm
出卢森堡申报单价：38.53USD</v>
          </cell>
        </row>
        <row r="100">
          <cell r="A100">
            <v>1021900094</v>
          </cell>
          <cell r="B100" t="str">
            <v>Seal扫描仪订制一体线缆</v>
          </cell>
          <cell r="C100" t="str">
            <v>Seal Cable</v>
          </cell>
          <cell r="D100" t="str">
            <v>根</v>
          </cell>
          <cell r="E100" t="str">
            <v>6975925240807</v>
          </cell>
          <cell r="F100" t="str">
            <v>Seal一体线缆</v>
          </cell>
          <cell r="G100" t="str">
            <v>3DMakerpro</v>
          </cell>
          <cell r="H100" t="str">
            <v>三维扫描仪备品备件</v>
          </cell>
          <cell r="I100" t="str">
            <v>否</v>
          </cell>
          <cell r="J100" t="str">
            <v>否</v>
          </cell>
          <cell r="K100" t="str">
            <v>深圳积木易搭科技技术有限公司</v>
          </cell>
          <cell r="L100" t="str">
            <v/>
          </cell>
          <cell r="M100" t="str">
            <v>2023-09-06 16:56:14</v>
          </cell>
          <cell r="N100" t="str">
            <v>2025-06-13 14:15:15</v>
          </cell>
          <cell r="O100" t="str">
            <v>单涛</v>
          </cell>
          <cell r="P100" t="str">
            <v>单涛</v>
          </cell>
          <cell r="Q100" t="str">
            <v/>
          </cell>
          <cell r="R100" t="str">
            <v>否</v>
          </cell>
          <cell r="S100" t="str">
            <v/>
          </cell>
          <cell r="T100" t="str">
            <v/>
          </cell>
          <cell r="U100" t="str">
            <v/>
          </cell>
          <cell r="V100" t="str">
            <v/>
          </cell>
          <cell r="W100" t="str">
            <v/>
          </cell>
          <cell r="X100" t="str">
            <v/>
          </cell>
          <cell r="Y100" t="str">
            <v>1021900094</v>
          </cell>
          <cell r="Z100" t="str">
            <v>-</v>
          </cell>
          <cell r="AA100" t="str">
            <v>6975925240807</v>
          </cell>
          <cell r="AB100">
            <v>20</v>
          </cell>
          <cell r="AC100">
            <v>6</v>
          </cell>
          <cell r="AD100">
            <v>6</v>
          </cell>
          <cell r="AE100">
            <v>720</v>
          </cell>
          <cell r="AF100" t="str">
            <v>cm³</v>
          </cell>
          <cell r="AG100">
            <v>0.2</v>
          </cell>
          <cell r="AH100" t="str">
            <v>kg</v>
          </cell>
          <cell r="AI100">
            <v>29.25</v>
          </cell>
          <cell r="AJ100" t="str">
            <v>8544421100</v>
          </cell>
          <cell r="AK100" t="str">
            <v>长度：2米</v>
          </cell>
        </row>
        <row r="101">
          <cell r="A101">
            <v>1300100089</v>
          </cell>
          <cell r="B101" t="str">
            <v>Seal双轴转台(欧规)</v>
          </cell>
          <cell r="C101" t="str">
            <v>Multi-Axis Turntable for Seal(EU)</v>
          </cell>
          <cell r="D101" t="str">
            <v>台</v>
          </cell>
          <cell r="E101" t="str">
            <v>6975925240760</v>
          </cell>
          <cell r="F101" t="str">
            <v>Seal双轴转台(欧规)</v>
          </cell>
          <cell r="G101" t="str">
            <v>3DMakerpro</v>
          </cell>
          <cell r="H101" t="str">
            <v>三维扫描仪备品备件</v>
          </cell>
          <cell r="I101" t="str">
            <v>否</v>
          </cell>
          <cell r="J101" t="str">
            <v>否</v>
          </cell>
          <cell r="K101" t="str">
            <v>深圳积木易搭科技技术有限公司</v>
          </cell>
          <cell r="L101" t="str">
            <v/>
          </cell>
          <cell r="M101" t="str">
            <v>2023-09-20 11:16:52</v>
          </cell>
          <cell r="N101" t="str">
            <v>2024-10-17 15:41:22</v>
          </cell>
          <cell r="O101" t="str">
            <v>单涛</v>
          </cell>
          <cell r="P101" t="str">
            <v>单涛</v>
          </cell>
          <cell r="Q101" t="str">
            <v/>
          </cell>
          <cell r="R101" t="str">
            <v>否</v>
          </cell>
          <cell r="S101" t="str">
            <v/>
          </cell>
          <cell r="T101" t="str">
            <v/>
          </cell>
          <cell r="U101" t="str">
            <v/>
          </cell>
          <cell r="V101" t="str">
            <v/>
          </cell>
          <cell r="W101" t="str">
            <v/>
          </cell>
          <cell r="X101" t="str">
            <v/>
          </cell>
          <cell r="Y101" t="str">
            <v>1300100089</v>
          </cell>
          <cell r="Z101" t="str">
            <v>-</v>
          </cell>
          <cell r="AA101" t="str">
            <v>6975925240760</v>
          </cell>
          <cell r="AB101">
            <v>35</v>
          </cell>
          <cell r="AC101">
            <v>27</v>
          </cell>
          <cell r="AD101">
            <v>23</v>
          </cell>
          <cell r="AE101">
            <v>21735</v>
          </cell>
          <cell r="AF101" t="str">
            <v>cm³</v>
          </cell>
          <cell r="AG101">
            <v>2.7</v>
          </cell>
          <cell r="AH101" t="str">
            <v>kg</v>
          </cell>
          <cell r="AI101">
            <v>187.2</v>
          </cell>
          <cell r="AJ101" t="str">
            <v>9031900090</v>
          </cell>
          <cell r="AK101" t="str">
            <v>出卢森堡申报单价：196.59USD</v>
          </cell>
        </row>
        <row r="102">
          <cell r="A102">
            <v>1300100139</v>
          </cell>
          <cell r="B102" t="str">
            <v>Seal双轴转台(美规)</v>
          </cell>
          <cell r="C102" t="str">
            <v>Multi-Axis Turntable for Seal(US)</v>
          </cell>
          <cell r="D102" t="str">
            <v>台</v>
          </cell>
          <cell r="E102" t="str">
            <v>6975925240777</v>
          </cell>
          <cell r="F102" t="str">
            <v>Seal双轴转台(美规)</v>
          </cell>
          <cell r="G102" t="str">
            <v>3DMakerpro</v>
          </cell>
          <cell r="H102" t="str">
            <v>三维扫描仪备品备件</v>
          </cell>
          <cell r="I102" t="str">
            <v>否</v>
          </cell>
          <cell r="J102" t="str">
            <v>否</v>
          </cell>
          <cell r="K102" t="str">
            <v>深圳积木易搭科技技术有限公司</v>
          </cell>
          <cell r="L102" t="str">
            <v/>
          </cell>
          <cell r="M102" t="str">
            <v>2023-09-20 11:18:32</v>
          </cell>
          <cell r="N102" t="str">
            <v>2024-09-10 17:09:49</v>
          </cell>
          <cell r="O102" t="str">
            <v>单涛</v>
          </cell>
          <cell r="P102" t="str">
            <v>单涛</v>
          </cell>
          <cell r="Q102" t="str">
            <v/>
          </cell>
          <cell r="R102" t="str">
            <v>否</v>
          </cell>
          <cell r="S102" t="str">
            <v/>
          </cell>
          <cell r="T102" t="str">
            <v/>
          </cell>
          <cell r="U102" t="str">
            <v/>
          </cell>
          <cell r="V102" t="str">
            <v/>
          </cell>
          <cell r="W102" t="str">
            <v/>
          </cell>
          <cell r="X102" t="str">
            <v/>
          </cell>
          <cell r="Y102" t="str">
            <v>1300100139</v>
          </cell>
          <cell r="Z102" t="str">
            <v>-</v>
          </cell>
          <cell r="AA102" t="str">
            <v>6975925240777</v>
          </cell>
          <cell r="AB102">
            <v>35</v>
          </cell>
          <cell r="AC102">
            <v>27</v>
          </cell>
          <cell r="AD102">
            <v>23</v>
          </cell>
          <cell r="AE102">
            <v>21735</v>
          </cell>
          <cell r="AF102" t="str">
            <v>cm³</v>
          </cell>
          <cell r="AG102">
            <v>2.7</v>
          </cell>
          <cell r="AH102" t="str">
            <v>kg</v>
          </cell>
          <cell r="AI102">
            <v>187.2</v>
          </cell>
          <cell r="AJ102" t="str">
            <v>9031900090</v>
          </cell>
          <cell r="AK102" t="str">
            <v/>
          </cell>
        </row>
        <row r="103">
          <cell r="A103">
            <v>1300100140</v>
          </cell>
          <cell r="B103" t="str">
            <v>Seal双轴转台(英规)</v>
          </cell>
          <cell r="C103" t="str">
            <v>Multi-Axis Turntable for Seal(UK)</v>
          </cell>
          <cell r="D103" t="str">
            <v>台</v>
          </cell>
          <cell r="E103" t="str">
            <v>6975925240784</v>
          </cell>
          <cell r="F103" t="str">
            <v>Seal双轴转台(英规)</v>
          </cell>
          <cell r="G103" t="str">
            <v>3DMakerpro</v>
          </cell>
          <cell r="H103" t="str">
            <v>三维扫描仪备品备件</v>
          </cell>
          <cell r="I103" t="str">
            <v>否</v>
          </cell>
          <cell r="J103" t="str">
            <v>否</v>
          </cell>
          <cell r="K103" t="str">
            <v>深圳积木易搭科技技术有限公司</v>
          </cell>
          <cell r="L103" t="str">
            <v/>
          </cell>
          <cell r="M103" t="str">
            <v>2023-09-20 11:19:22</v>
          </cell>
          <cell r="N103" t="str">
            <v>2024-09-10 17:09:59</v>
          </cell>
          <cell r="O103" t="str">
            <v>单涛</v>
          </cell>
          <cell r="P103" t="str">
            <v>单涛</v>
          </cell>
          <cell r="Q103" t="str">
            <v/>
          </cell>
          <cell r="R103" t="str">
            <v>否</v>
          </cell>
          <cell r="S103" t="str">
            <v/>
          </cell>
          <cell r="T103" t="str">
            <v/>
          </cell>
          <cell r="U103" t="str">
            <v/>
          </cell>
          <cell r="V103" t="str">
            <v/>
          </cell>
          <cell r="W103" t="str">
            <v/>
          </cell>
          <cell r="X103" t="str">
            <v/>
          </cell>
          <cell r="Y103" t="str">
            <v>1300100140</v>
          </cell>
          <cell r="Z103" t="str">
            <v>-</v>
          </cell>
          <cell r="AA103" t="str">
            <v>6975925240784</v>
          </cell>
          <cell r="AB103">
            <v>35</v>
          </cell>
          <cell r="AC103">
            <v>27</v>
          </cell>
          <cell r="AD103">
            <v>23</v>
          </cell>
          <cell r="AE103">
            <v>21735</v>
          </cell>
          <cell r="AF103" t="str">
            <v>cm³</v>
          </cell>
          <cell r="AG103">
            <v>2.7</v>
          </cell>
          <cell r="AH103" t="str">
            <v>kg</v>
          </cell>
          <cell r="AI103">
            <v>187.2</v>
          </cell>
          <cell r="AJ103" t="str">
            <v>9031900090</v>
          </cell>
          <cell r="AK103" t="str">
            <v/>
          </cell>
        </row>
        <row r="104">
          <cell r="A104">
            <v>1300100141</v>
          </cell>
          <cell r="B104" t="str">
            <v>Seal双轴转台(澳规)</v>
          </cell>
          <cell r="C104" t="str">
            <v>Multi-Axis Turntable for Seal(AU)</v>
          </cell>
          <cell r="D104" t="str">
            <v>台</v>
          </cell>
          <cell r="E104" t="str">
            <v>6975925240791</v>
          </cell>
          <cell r="F104" t="str">
            <v>Seal双轴转台(澳规)</v>
          </cell>
          <cell r="G104" t="str">
            <v>3DMakerpro</v>
          </cell>
          <cell r="H104" t="str">
            <v>三维扫描仪备品备件</v>
          </cell>
          <cell r="I104" t="str">
            <v>否</v>
          </cell>
          <cell r="J104" t="str">
            <v>否</v>
          </cell>
          <cell r="K104" t="str">
            <v>深圳积木易搭科技技术有限公司</v>
          </cell>
          <cell r="L104" t="str">
            <v/>
          </cell>
          <cell r="M104" t="str">
            <v>2023-09-20 11:20:45</v>
          </cell>
          <cell r="N104" t="str">
            <v>2024-09-10 17:10:09</v>
          </cell>
          <cell r="O104" t="str">
            <v>单涛</v>
          </cell>
          <cell r="P104" t="str">
            <v>单涛</v>
          </cell>
          <cell r="Q104" t="str">
            <v/>
          </cell>
          <cell r="R104" t="str">
            <v>否</v>
          </cell>
          <cell r="S104" t="str">
            <v/>
          </cell>
          <cell r="T104" t="str">
            <v/>
          </cell>
          <cell r="U104" t="str">
            <v/>
          </cell>
          <cell r="V104" t="str">
            <v/>
          </cell>
          <cell r="W104" t="str">
            <v/>
          </cell>
          <cell r="X104" t="str">
            <v/>
          </cell>
          <cell r="Y104" t="str">
            <v>1300100141</v>
          </cell>
          <cell r="Z104" t="str">
            <v>-</v>
          </cell>
          <cell r="AA104" t="str">
            <v>6975925240791</v>
          </cell>
          <cell r="AB104">
            <v>35</v>
          </cell>
          <cell r="AC104">
            <v>27</v>
          </cell>
          <cell r="AD104">
            <v>23</v>
          </cell>
          <cell r="AE104">
            <v>21735</v>
          </cell>
          <cell r="AF104" t="str">
            <v>cm³</v>
          </cell>
          <cell r="AG104">
            <v>2.7</v>
          </cell>
          <cell r="AH104" t="str">
            <v>kg</v>
          </cell>
          <cell r="AI104">
            <v>187.2</v>
          </cell>
          <cell r="AJ104" t="str">
            <v>9031900090</v>
          </cell>
          <cell r="AK104" t="str">
            <v/>
          </cell>
        </row>
        <row r="105">
          <cell r="A105">
            <v>1200100060</v>
          </cell>
          <cell r="B105" t="str">
            <v>三维扫描仪Seal主机</v>
          </cell>
          <cell r="C105" t="str">
            <v>3D Scanner Seal</v>
          </cell>
          <cell r="D105" t="str">
            <v>台</v>
          </cell>
          <cell r="E105" t="str">
            <v/>
          </cell>
          <cell r="F105" t="str">
            <v>Seal主机裸机</v>
          </cell>
          <cell r="G105" t="str">
            <v>3DMakerpro</v>
          </cell>
          <cell r="H105" t="str">
            <v>三维扫描仪-JMS2</v>
          </cell>
          <cell r="I105" t="str">
            <v>否</v>
          </cell>
          <cell r="J105" t="str">
            <v>否</v>
          </cell>
          <cell r="K105" t="str">
            <v>深圳积木易搭科技技术有限公司</v>
          </cell>
          <cell r="L105" t="str">
            <v/>
          </cell>
          <cell r="M105" t="str">
            <v>2023-09-15 15:21:23</v>
          </cell>
          <cell r="N105" t="str">
            <v>2025-01-14 13:47:58</v>
          </cell>
          <cell r="O105" t="str">
            <v>单涛</v>
          </cell>
          <cell r="P105" t="str">
            <v>单涛</v>
          </cell>
          <cell r="Q105" t="str">
            <v/>
          </cell>
          <cell r="R105" t="str">
            <v>否</v>
          </cell>
          <cell r="S105" t="str">
            <v/>
          </cell>
          <cell r="T105" t="str">
            <v/>
          </cell>
          <cell r="U105" t="str">
            <v/>
          </cell>
          <cell r="V105" t="str">
            <v/>
          </cell>
          <cell r="W105" t="str">
            <v/>
          </cell>
          <cell r="X105" t="str">
            <v/>
          </cell>
          <cell r="Y105" t="str">
            <v>1200100060</v>
          </cell>
          <cell r="Z105" t="str">
            <v>JMS2</v>
          </cell>
          <cell r="AA105" t="str">
            <v/>
          </cell>
          <cell r="AB105" t="str">
            <v/>
          </cell>
          <cell r="AC105" t="str">
            <v/>
          </cell>
          <cell r="AD105" t="str">
            <v/>
          </cell>
          <cell r="AE105" t="str">
            <v/>
          </cell>
          <cell r="AF105" t="str">
            <v/>
          </cell>
          <cell r="AG105" t="str">
            <v/>
          </cell>
          <cell r="AH105" t="str">
            <v/>
          </cell>
          <cell r="AI105" t="str">
            <v/>
          </cell>
          <cell r="AJ105" t="str">
            <v>9031499000</v>
          </cell>
          <cell r="AK105" t="str">
            <v/>
          </cell>
        </row>
        <row r="106">
          <cell r="A106">
            <v>1200100059</v>
          </cell>
          <cell r="B106" t="str">
            <v>三维扫描仪Seal Lite 主机</v>
          </cell>
          <cell r="C106" t="str">
            <v>3D Scanner Seal Lite</v>
          </cell>
          <cell r="D106" t="str">
            <v>台</v>
          </cell>
          <cell r="E106" t="str">
            <v/>
          </cell>
          <cell r="F106" t="str">
            <v>Seal Lite 主机</v>
          </cell>
          <cell r="G106" t="str">
            <v>3DMakerpro</v>
          </cell>
          <cell r="H106" t="str">
            <v>三维扫描仪-JMS1</v>
          </cell>
          <cell r="I106" t="str">
            <v>否</v>
          </cell>
          <cell r="J106" t="str">
            <v>否</v>
          </cell>
          <cell r="K106" t="str">
            <v>深圳积木易搭科技技术有限公司</v>
          </cell>
          <cell r="L106" t="str">
            <v/>
          </cell>
          <cell r="M106" t="str">
            <v>2023-11-21 17:51:57</v>
          </cell>
          <cell r="N106" t="str">
            <v>2025-01-14 13:48:09</v>
          </cell>
          <cell r="O106" t="str">
            <v>单涛</v>
          </cell>
          <cell r="P106" t="str">
            <v>单涛</v>
          </cell>
          <cell r="Q106" t="str">
            <v/>
          </cell>
          <cell r="R106" t="str">
            <v>否</v>
          </cell>
          <cell r="S106" t="str">
            <v/>
          </cell>
          <cell r="T106" t="str">
            <v/>
          </cell>
          <cell r="U106" t="str">
            <v/>
          </cell>
          <cell r="V106" t="str">
            <v/>
          </cell>
          <cell r="W106" t="str">
            <v/>
          </cell>
          <cell r="X106" t="str">
            <v/>
          </cell>
          <cell r="Y106" t="str">
            <v>1200100059</v>
          </cell>
          <cell r="Z106" t="str">
            <v>JMS1</v>
          </cell>
          <cell r="AA106" t="str">
            <v/>
          </cell>
          <cell r="AB106" t="str">
            <v/>
          </cell>
          <cell r="AC106" t="str">
            <v/>
          </cell>
          <cell r="AD106" t="str">
            <v/>
          </cell>
          <cell r="AE106" t="str">
            <v/>
          </cell>
          <cell r="AF106" t="str">
            <v/>
          </cell>
          <cell r="AG106">
            <v>0.5</v>
          </cell>
          <cell r="AH106" t="str">
            <v>kg</v>
          </cell>
          <cell r="AI106" t="str">
            <v/>
          </cell>
          <cell r="AJ106" t="str">
            <v>9031499000</v>
          </cell>
          <cell r="AK106" t="str">
            <v/>
          </cell>
        </row>
        <row r="107">
          <cell r="A107">
            <v>1300100059</v>
          </cell>
          <cell r="B107" t="str">
            <v>三维扫描仪Lynx基础款(美规)</v>
          </cell>
          <cell r="C107" t="str">
            <v>3D Scanner Lynx Standard(US)</v>
          </cell>
          <cell r="D107" t="str">
            <v>台</v>
          </cell>
          <cell r="E107" t="str">
            <v>6975925240197</v>
          </cell>
          <cell r="F107" t="str">
            <v>Lynx基础款(美规)</v>
          </cell>
          <cell r="G107" t="str">
            <v>3DMakerpro</v>
          </cell>
          <cell r="H107" t="str">
            <v>三维扫描仪-JML1</v>
          </cell>
          <cell r="I107" t="str">
            <v>否</v>
          </cell>
          <cell r="J107" t="str">
            <v>否</v>
          </cell>
          <cell r="K107" t="str">
            <v>深圳积木易搭科技技术有限公司</v>
          </cell>
          <cell r="L107" t="str">
            <v/>
          </cell>
          <cell r="M107" t="str">
            <v>2023-05-08 15:11:41</v>
          </cell>
          <cell r="N107" t="str">
            <v>2025-01-14 13:48:23</v>
          </cell>
          <cell r="O107" t="str">
            <v>单涛</v>
          </cell>
          <cell r="P107" t="str">
            <v>单涛</v>
          </cell>
          <cell r="Q107" t="str">
            <v/>
          </cell>
          <cell r="R107" t="str">
            <v>否</v>
          </cell>
          <cell r="S107" t="str">
            <v>老版本：10KGS,49*32*12cm,4PCS/CTNS</v>
          </cell>
          <cell r="T107" t="str">
            <v/>
          </cell>
          <cell r="U107" t="str">
            <v/>
          </cell>
          <cell r="V107" t="str">
            <v/>
          </cell>
          <cell r="W107" t="str">
            <v/>
          </cell>
          <cell r="X107" t="str">
            <v/>
          </cell>
          <cell r="Y107" t="str">
            <v>1300100059</v>
          </cell>
          <cell r="Z107" t="str">
            <v>JML1</v>
          </cell>
          <cell r="AA107" t="str">
            <v>6975925240197</v>
          </cell>
          <cell r="AB107">
            <v>30</v>
          </cell>
          <cell r="AC107">
            <v>19</v>
          </cell>
          <cell r="AD107">
            <v>9</v>
          </cell>
          <cell r="AE107">
            <v>5130</v>
          </cell>
          <cell r="AF107" t="str">
            <v>cm³</v>
          </cell>
          <cell r="AG107">
            <v>1.2</v>
          </cell>
          <cell r="AH107" t="str">
            <v>kg</v>
          </cell>
          <cell r="AI107">
            <v>367.2</v>
          </cell>
          <cell r="AJ107" t="str">
            <v>9031499000</v>
          </cell>
          <cell r="AK107" t="str">
            <v>13.2KGS,49*41*36cm,10PCS/CTNS</v>
          </cell>
        </row>
        <row r="108">
          <cell r="A108">
            <v>1300100114</v>
          </cell>
          <cell r="B108" t="str">
            <v>三维扫描仪Lynx基础款(澳规)</v>
          </cell>
          <cell r="C108" t="str">
            <v>3D Scanner Lynx Standard(AU)</v>
          </cell>
          <cell r="D108" t="str">
            <v>台</v>
          </cell>
          <cell r="E108" t="str">
            <v>6975925240548</v>
          </cell>
          <cell r="F108" t="str">
            <v>Lynx基础款(澳规)</v>
          </cell>
          <cell r="G108" t="str">
            <v>3DMakerpro</v>
          </cell>
          <cell r="H108" t="str">
            <v>三维扫描仪-JML1</v>
          </cell>
          <cell r="I108" t="str">
            <v>否</v>
          </cell>
          <cell r="J108" t="str">
            <v>否</v>
          </cell>
          <cell r="K108" t="str">
            <v>深圳积木易搭科技技术有限公司</v>
          </cell>
          <cell r="L108" t="str">
            <v/>
          </cell>
          <cell r="M108" t="str">
            <v>2023-09-01 11:20:42</v>
          </cell>
          <cell r="N108" t="str">
            <v>2025-01-14 13:48:30</v>
          </cell>
          <cell r="O108" t="str">
            <v>单涛</v>
          </cell>
          <cell r="P108" t="str">
            <v>单涛</v>
          </cell>
          <cell r="Q108" t="str">
            <v/>
          </cell>
          <cell r="R108" t="str">
            <v>否</v>
          </cell>
          <cell r="S108" t="str">
            <v/>
          </cell>
          <cell r="T108" t="str">
            <v/>
          </cell>
          <cell r="U108" t="str">
            <v/>
          </cell>
          <cell r="V108" t="str">
            <v/>
          </cell>
          <cell r="W108" t="str">
            <v/>
          </cell>
          <cell r="X108" t="str">
            <v/>
          </cell>
          <cell r="Y108" t="str">
            <v>1300100114</v>
          </cell>
          <cell r="Z108" t="str">
            <v>JML1</v>
          </cell>
          <cell r="AA108" t="str">
            <v>6975925240548</v>
          </cell>
          <cell r="AB108">
            <v>30</v>
          </cell>
          <cell r="AC108">
            <v>19</v>
          </cell>
          <cell r="AD108">
            <v>9</v>
          </cell>
          <cell r="AE108">
            <v>5130</v>
          </cell>
          <cell r="AF108" t="str">
            <v>cm³</v>
          </cell>
          <cell r="AG108">
            <v>1.2</v>
          </cell>
          <cell r="AH108" t="str">
            <v>kg</v>
          </cell>
          <cell r="AI108">
            <v>367.2</v>
          </cell>
          <cell r="AJ108" t="str">
            <v>9031499000</v>
          </cell>
          <cell r="AK108" t="str">
            <v>13.2KGS,49*41*36cm,10PCS/CTNS</v>
          </cell>
        </row>
        <row r="109">
          <cell r="A109">
            <v>1300100111</v>
          </cell>
          <cell r="B109" t="str">
            <v>三维扫描仪Lynx基础款(欧规)</v>
          </cell>
          <cell r="C109" t="str">
            <v>3D Scanner Lynx Standard(EU)</v>
          </cell>
          <cell r="D109" t="str">
            <v>台</v>
          </cell>
          <cell r="E109" t="str">
            <v>6975925240517</v>
          </cell>
          <cell r="F109" t="str">
            <v>Lynx 基础款(欧规)</v>
          </cell>
          <cell r="G109" t="str">
            <v>3DMakerpro</v>
          </cell>
          <cell r="H109" t="str">
            <v>三维扫描仪-JML1</v>
          </cell>
          <cell r="I109" t="str">
            <v>否</v>
          </cell>
          <cell r="J109" t="str">
            <v>否</v>
          </cell>
          <cell r="K109" t="str">
            <v>深圳积木易搭科技技术有限公司</v>
          </cell>
          <cell r="L109" t="str">
            <v/>
          </cell>
          <cell r="M109" t="str">
            <v>2023-09-01 11:13:49</v>
          </cell>
          <cell r="N109" t="str">
            <v>2025-01-14 13:48:39</v>
          </cell>
          <cell r="O109" t="str">
            <v>单涛</v>
          </cell>
          <cell r="P109" t="str">
            <v>单涛</v>
          </cell>
          <cell r="Q109" t="str">
            <v/>
          </cell>
          <cell r="R109" t="str">
            <v>否</v>
          </cell>
          <cell r="S109" t="str">
            <v/>
          </cell>
          <cell r="T109" t="str">
            <v/>
          </cell>
          <cell r="U109" t="str">
            <v/>
          </cell>
          <cell r="V109" t="str">
            <v/>
          </cell>
          <cell r="W109" t="str">
            <v/>
          </cell>
          <cell r="X109" t="str">
            <v/>
          </cell>
          <cell r="Y109" t="str">
            <v>1300100111</v>
          </cell>
          <cell r="Z109" t="str">
            <v>JML1</v>
          </cell>
          <cell r="AA109" t="str">
            <v>6975925240517</v>
          </cell>
          <cell r="AB109">
            <v>30</v>
          </cell>
          <cell r="AC109">
            <v>19</v>
          </cell>
          <cell r="AD109">
            <v>9</v>
          </cell>
          <cell r="AE109">
            <v>5130</v>
          </cell>
          <cell r="AF109" t="str">
            <v>cm³</v>
          </cell>
          <cell r="AG109">
            <v>1.2</v>
          </cell>
          <cell r="AH109" t="str">
            <v>kg</v>
          </cell>
          <cell r="AI109">
            <v>367.2</v>
          </cell>
          <cell r="AJ109" t="str">
            <v>9031499000</v>
          </cell>
          <cell r="AK109" t="str">
            <v>13.2KGS,49*41*36cm,10PCS/CTNS
出卢森堡申报单价：427.77USD</v>
          </cell>
        </row>
        <row r="110">
          <cell r="A110">
            <v>1300100108</v>
          </cell>
          <cell r="B110" t="str">
            <v>三维扫描仪Lynx基础款(英规)</v>
          </cell>
          <cell r="C110" t="str">
            <v>3D Scanner Lynx Standard(UK)</v>
          </cell>
          <cell r="D110" t="str">
            <v>台</v>
          </cell>
          <cell r="E110" t="str">
            <v>6975925240487</v>
          </cell>
          <cell r="F110" t="str">
            <v>Lynx 基础款(英规)</v>
          </cell>
          <cell r="G110" t="str">
            <v>3DMakerpro</v>
          </cell>
          <cell r="H110" t="str">
            <v>三维扫描仪-JML1</v>
          </cell>
          <cell r="I110" t="str">
            <v>否</v>
          </cell>
          <cell r="J110" t="str">
            <v>否</v>
          </cell>
          <cell r="K110" t="str">
            <v>深圳积木易搭科技技术有限公司</v>
          </cell>
          <cell r="L110" t="str">
            <v/>
          </cell>
          <cell r="M110" t="str">
            <v>2023-09-01 10:52:52</v>
          </cell>
          <cell r="N110" t="str">
            <v>2025-01-14 13:48:47</v>
          </cell>
          <cell r="O110" t="str">
            <v>单涛</v>
          </cell>
          <cell r="P110" t="str">
            <v>单涛</v>
          </cell>
          <cell r="Q110" t="str">
            <v/>
          </cell>
          <cell r="R110" t="str">
            <v>否</v>
          </cell>
          <cell r="S110" t="str">
            <v/>
          </cell>
          <cell r="T110" t="str">
            <v/>
          </cell>
          <cell r="U110" t="str">
            <v/>
          </cell>
          <cell r="V110" t="str">
            <v/>
          </cell>
          <cell r="W110" t="str">
            <v/>
          </cell>
          <cell r="X110" t="str">
            <v/>
          </cell>
          <cell r="Y110" t="str">
            <v>1300100108</v>
          </cell>
          <cell r="Z110" t="str">
            <v>JML1</v>
          </cell>
          <cell r="AA110" t="str">
            <v>6975925240487</v>
          </cell>
          <cell r="AB110">
            <v>30</v>
          </cell>
          <cell r="AC110">
            <v>19</v>
          </cell>
          <cell r="AD110">
            <v>9</v>
          </cell>
          <cell r="AE110">
            <v>5130</v>
          </cell>
          <cell r="AF110" t="str">
            <v>cm³</v>
          </cell>
          <cell r="AG110">
            <v>1.2</v>
          </cell>
          <cell r="AH110" t="str">
            <v>kg</v>
          </cell>
          <cell r="AI110">
            <v>367.2</v>
          </cell>
          <cell r="AJ110" t="str">
            <v>9031499000</v>
          </cell>
          <cell r="AK110" t="str">
            <v>13.2KGS,49*41*36cm,10PCS/CTNS</v>
          </cell>
        </row>
        <row r="111">
          <cell r="A111">
            <v>1300100105</v>
          </cell>
          <cell r="B111" t="str">
            <v>三维扫描仪Lynx基础款(英文4规版)</v>
          </cell>
          <cell r="C111" t="str">
            <v>3D Scanner Lynx Standard(EN)</v>
          </cell>
          <cell r="D111" t="str">
            <v>台</v>
          </cell>
          <cell r="E111" t="str">
            <v>6975925240456</v>
          </cell>
          <cell r="F111" t="str">
            <v>Lynx 基础款(英文4规版)</v>
          </cell>
          <cell r="G111" t="str">
            <v>3DMakerpro</v>
          </cell>
          <cell r="H111" t="str">
            <v>三维扫描仪-JML1</v>
          </cell>
          <cell r="I111" t="str">
            <v>否</v>
          </cell>
          <cell r="J111" t="str">
            <v>否</v>
          </cell>
          <cell r="K111" t="str">
            <v>深圳积木易搭科技技术有限公司</v>
          </cell>
          <cell r="L111" t="str">
            <v/>
          </cell>
          <cell r="M111" t="str">
            <v>2023-09-01 10:45:05</v>
          </cell>
          <cell r="N111" t="str">
            <v>2025-01-14 13:48:55</v>
          </cell>
          <cell r="O111" t="str">
            <v>单涛</v>
          </cell>
          <cell r="P111" t="str">
            <v>单涛</v>
          </cell>
          <cell r="Q111" t="str">
            <v/>
          </cell>
          <cell r="R111" t="str">
            <v>否</v>
          </cell>
          <cell r="S111" t="str">
            <v/>
          </cell>
          <cell r="T111" t="str">
            <v/>
          </cell>
          <cell r="U111" t="str">
            <v/>
          </cell>
          <cell r="V111" t="str">
            <v/>
          </cell>
          <cell r="W111" t="str">
            <v/>
          </cell>
          <cell r="X111" t="str">
            <v/>
          </cell>
          <cell r="Y111" t="str">
            <v>1300100105</v>
          </cell>
          <cell r="Z111" t="str">
            <v>JML1</v>
          </cell>
          <cell r="AA111" t="str">
            <v>6975925240456</v>
          </cell>
          <cell r="AB111">
            <v>30</v>
          </cell>
          <cell r="AC111">
            <v>19</v>
          </cell>
          <cell r="AD111">
            <v>9</v>
          </cell>
          <cell r="AE111">
            <v>5130</v>
          </cell>
          <cell r="AF111" t="str">
            <v>cm³</v>
          </cell>
          <cell r="AG111">
            <v>1.2</v>
          </cell>
          <cell r="AH111" t="str">
            <v>kg</v>
          </cell>
          <cell r="AI111">
            <v>367.2</v>
          </cell>
          <cell r="AJ111" t="str">
            <v>9031499000</v>
          </cell>
          <cell r="AK111" t="str">
            <v>13.2KGS,49*41*36cm,10PCS/CTNS
出卢森堡申报单价：427.77USD</v>
          </cell>
        </row>
        <row r="112">
          <cell r="A112">
            <v>1300100045</v>
          </cell>
          <cell r="B112" t="str">
            <v>三维扫描仪Lynx升级款(美规)</v>
          </cell>
          <cell r="C112" t="str">
            <v>3D Scanner Lynx Premium(US)</v>
          </cell>
          <cell r="D112" t="str">
            <v>台</v>
          </cell>
          <cell r="E112" t="str">
            <v>6975925240166</v>
          </cell>
          <cell r="F112" t="str">
            <v>Lynx升级款(美规)</v>
          </cell>
          <cell r="G112" t="str">
            <v>3DMakerpro</v>
          </cell>
          <cell r="H112" t="str">
            <v>三维扫描仪-JML1</v>
          </cell>
          <cell r="I112" t="str">
            <v>否</v>
          </cell>
          <cell r="J112" t="str">
            <v>否</v>
          </cell>
          <cell r="K112" t="str">
            <v>深圳积木易搭科技技术有限公司</v>
          </cell>
          <cell r="L112" t="str">
            <v/>
          </cell>
          <cell r="M112" t="str">
            <v>2023-05-08 15:17:16</v>
          </cell>
          <cell r="N112" t="str">
            <v>2025-01-14 13:49:03</v>
          </cell>
          <cell r="O112" t="str">
            <v>单涛</v>
          </cell>
          <cell r="P112" t="str">
            <v>单涛</v>
          </cell>
          <cell r="Q112" t="str">
            <v/>
          </cell>
          <cell r="R112" t="str">
            <v>否</v>
          </cell>
          <cell r="S112" t="str">
            <v/>
          </cell>
          <cell r="T112" t="str">
            <v/>
          </cell>
          <cell r="U112" t="str">
            <v/>
          </cell>
          <cell r="V112" t="str">
            <v/>
          </cell>
          <cell r="W112" t="str">
            <v/>
          </cell>
          <cell r="X112" t="str">
            <v/>
          </cell>
          <cell r="Y112" t="str">
            <v>1300100045</v>
          </cell>
          <cell r="Z112" t="str">
            <v>JML1</v>
          </cell>
          <cell r="AA112" t="str">
            <v>6975925240166</v>
          </cell>
          <cell r="AB112">
            <v>40</v>
          </cell>
          <cell r="AC112">
            <v>12</v>
          </cell>
          <cell r="AD112">
            <v>32</v>
          </cell>
          <cell r="AE112">
            <v>15360</v>
          </cell>
          <cell r="AF112" t="str">
            <v>cm³</v>
          </cell>
          <cell r="AG112">
            <v>3.1</v>
          </cell>
          <cell r="AH112" t="str">
            <v>kg</v>
          </cell>
          <cell r="AI112">
            <v>439.2</v>
          </cell>
          <cell r="AJ112" t="str">
            <v>9031499000</v>
          </cell>
          <cell r="AK112" t="str">
            <v>4PCS/CTN,49*41*35.5cm,13.1KGS</v>
          </cell>
        </row>
        <row r="113">
          <cell r="A113">
            <v>1300100115</v>
          </cell>
          <cell r="B113" t="str">
            <v>三维扫描仪Lynx升级款(澳规)</v>
          </cell>
          <cell r="C113" t="str">
            <v>3D Scanner Lynx Premium(AU)</v>
          </cell>
          <cell r="D113" t="str">
            <v>台</v>
          </cell>
          <cell r="E113" t="str">
            <v>6975925240555</v>
          </cell>
          <cell r="F113" t="str">
            <v>Lynx 升级款(澳规)</v>
          </cell>
          <cell r="G113" t="str">
            <v>3DMakerpro</v>
          </cell>
          <cell r="H113" t="str">
            <v>三维扫描仪-JML1</v>
          </cell>
          <cell r="I113" t="str">
            <v>否</v>
          </cell>
          <cell r="J113" t="str">
            <v>否</v>
          </cell>
          <cell r="K113" t="str">
            <v>深圳积木易搭科技技术有限公司</v>
          </cell>
          <cell r="L113" t="str">
            <v/>
          </cell>
          <cell r="M113" t="str">
            <v>2023-09-01 11:22:29</v>
          </cell>
          <cell r="N113" t="str">
            <v>2025-01-14 13:49:14</v>
          </cell>
          <cell r="O113" t="str">
            <v>单涛</v>
          </cell>
          <cell r="P113" t="str">
            <v>单涛</v>
          </cell>
          <cell r="Q113" t="str">
            <v/>
          </cell>
          <cell r="R113" t="str">
            <v>否</v>
          </cell>
          <cell r="S113" t="str">
            <v/>
          </cell>
          <cell r="T113" t="str">
            <v/>
          </cell>
          <cell r="U113" t="str">
            <v/>
          </cell>
          <cell r="V113" t="str">
            <v/>
          </cell>
          <cell r="W113" t="str">
            <v/>
          </cell>
          <cell r="X113" t="str">
            <v/>
          </cell>
          <cell r="Y113" t="str">
            <v>1300100115</v>
          </cell>
          <cell r="Z113" t="str">
            <v>JML1</v>
          </cell>
          <cell r="AA113" t="str">
            <v>6975925240555</v>
          </cell>
          <cell r="AB113">
            <v>40</v>
          </cell>
          <cell r="AC113">
            <v>12</v>
          </cell>
          <cell r="AD113">
            <v>32</v>
          </cell>
          <cell r="AE113">
            <v>15360</v>
          </cell>
          <cell r="AF113" t="str">
            <v>cm³</v>
          </cell>
          <cell r="AG113">
            <v>3.1</v>
          </cell>
          <cell r="AH113" t="str">
            <v>kg</v>
          </cell>
          <cell r="AI113">
            <v>439.2</v>
          </cell>
          <cell r="AJ113" t="str">
            <v>9031499000</v>
          </cell>
          <cell r="AK113" t="str">
            <v>4PCS/CTN,49*41*35.5cm,13.1KGS</v>
          </cell>
        </row>
        <row r="114">
          <cell r="A114">
            <v>1300100187</v>
          </cell>
          <cell r="B114" t="str">
            <v>三维扫描仪Lynx升级款(欧规)-西班牙定制</v>
          </cell>
          <cell r="C114" t="str">
            <v>3D Scanner Lynx Premium(EU)</v>
          </cell>
          <cell r="D114" t="str">
            <v>台</v>
          </cell>
          <cell r="E114" t="str">
            <v>6975925241040</v>
          </cell>
          <cell r="F114" t="str">
            <v>Lynx升级款(欧规)-西班牙定制</v>
          </cell>
          <cell r="G114" t="str">
            <v>3DMakerpro</v>
          </cell>
          <cell r="H114" t="str">
            <v>三维扫描仪-JML1</v>
          </cell>
          <cell r="I114" t="str">
            <v>否</v>
          </cell>
          <cell r="J114" t="str">
            <v>否</v>
          </cell>
          <cell r="K114" t="str">
            <v>深圳积木易搭科技技术有限公司</v>
          </cell>
          <cell r="L114" t="str">
            <v/>
          </cell>
          <cell r="M114" t="str">
            <v>2024-07-17 11:15:25</v>
          </cell>
          <cell r="N114" t="str">
            <v>2025-01-14 13:49:23</v>
          </cell>
          <cell r="O114" t="str">
            <v>单涛</v>
          </cell>
          <cell r="P114" t="str">
            <v>单涛</v>
          </cell>
          <cell r="Q114" t="str">
            <v/>
          </cell>
          <cell r="R114" t="str">
            <v>否</v>
          </cell>
          <cell r="S114" t="str">
            <v/>
          </cell>
          <cell r="T114" t="str">
            <v/>
          </cell>
          <cell r="U114" t="str">
            <v/>
          </cell>
          <cell r="V114" t="str">
            <v/>
          </cell>
          <cell r="W114" t="str">
            <v/>
          </cell>
          <cell r="X114" t="str">
            <v/>
          </cell>
          <cell r="Y114" t="str">
            <v>1300100187</v>
          </cell>
          <cell r="Z114" t="str">
            <v>JML1</v>
          </cell>
          <cell r="AA114" t="str">
            <v>6975925241040</v>
          </cell>
          <cell r="AB114">
            <v>40</v>
          </cell>
          <cell r="AC114">
            <v>12</v>
          </cell>
          <cell r="AD114">
            <v>32</v>
          </cell>
          <cell r="AE114">
            <v>15360</v>
          </cell>
          <cell r="AF114" t="str">
            <v>cm³</v>
          </cell>
          <cell r="AG114">
            <v>3.1</v>
          </cell>
          <cell r="AH114" t="str">
            <v>kg</v>
          </cell>
          <cell r="AI114">
            <v>439.2</v>
          </cell>
          <cell r="AJ114" t="str">
            <v>9031499000</v>
          </cell>
          <cell r="AK114" t="str">
            <v>4PCS/CTN,49*41*35.5cm,13.1KGS</v>
          </cell>
        </row>
        <row r="115">
          <cell r="A115">
            <v>1300100112</v>
          </cell>
          <cell r="B115" t="str">
            <v>三维扫描仪Lynx升级款(欧规)</v>
          </cell>
          <cell r="C115" t="str">
            <v>3D Scanner Lynx Premium(EU)</v>
          </cell>
          <cell r="D115" t="str">
            <v>台</v>
          </cell>
          <cell r="E115" t="str">
            <v>6975925240524</v>
          </cell>
          <cell r="F115" t="str">
            <v>Lynx 升级款(欧规)</v>
          </cell>
          <cell r="G115" t="str">
            <v>3DMakerpro</v>
          </cell>
          <cell r="H115" t="str">
            <v>三维扫描仪-JML1</v>
          </cell>
          <cell r="I115" t="str">
            <v>否</v>
          </cell>
          <cell r="J115" t="str">
            <v>否</v>
          </cell>
          <cell r="K115" t="str">
            <v>深圳积木易搭科技技术有限公司</v>
          </cell>
          <cell r="L115" t="str">
            <v/>
          </cell>
          <cell r="M115" t="str">
            <v>2023-09-01 11:15:48</v>
          </cell>
          <cell r="N115" t="str">
            <v>2025-01-14 13:49:32</v>
          </cell>
          <cell r="O115" t="str">
            <v>单涛</v>
          </cell>
          <cell r="P115" t="str">
            <v>单涛</v>
          </cell>
          <cell r="Q115" t="str">
            <v/>
          </cell>
          <cell r="R115" t="str">
            <v>否</v>
          </cell>
          <cell r="S115" t="str">
            <v/>
          </cell>
          <cell r="T115" t="str">
            <v/>
          </cell>
          <cell r="U115" t="str">
            <v/>
          </cell>
          <cell r="V115" t="str">
            <v/>
          </cell>
          <cell r="W115" t="str">
            <v/>
          </cell>
          <cell r="X115" t="str">
            <v/>
          </cell>
          <cell r="Y115" t="str">
            <v>1300100112</v>
          </cell>
          <cell r="Z115" t="str">
            <v>JML1</v>
          </cell>
          <cell r="AA115" t="str">
            <v>6975925240524</v>
          </cell>
          <cell r="AB115">
            <v>40</v>
          </cell>
          <cell r="AC115">
            <v>12</v>
          </cell>
          <cell r="AD115">
            <v>32</v>
          </cell>
          <cell r="AE115">
            <v>15360</v>
          </cell>
          <cell r="AF115" t="str">
            <v>cm³</v>
          </cell>
          <cell r="AG115">
            <v>3.1</v>
          </cell>
          <cell r="AH115" t="str">
            <v>kg</v>
          </cell>
          <cell r="AI115">
            <v>439.2</v>
          </cell>
          <cell r="AJ115" t="str">
            <v>9031499000</v>
          </cell>
          <cell r="AK115" t="str">
            <v>4PCS/CTN,49*41*35.5cm,13.1KGS
出卢森堡申报单价：501.86USD</v>
          </cell>
        </row>
        <row r="116">
          <cell r="A116">
            <v>1300100109</v>
          </cell>
          <cell r="B116" t="str">
            <v>三维扫描仪Lynx升级款(英规)</v>
          </cell>
          <cell r="C116" t="str">
            <v>3D Scanner Lynx Premium(UK)</v>
          </cell>
          <cell r="D116" t="str">
            <v>台</v>
          </cell>
          <cell r="E116" t="str">
            <v>6975925240494</v>
          </cell>
          <cell r="F116" t="str">
            <v>Lynx 升级款(英规)</v>
          </cell>
          <cell r="G116" t="str">
            <v>3DMakerpro</v>
          </cell>
          <cell r="H116" t="str">
            <v>三维扫描仪-JML1</v>
          </cell>
          <cell r="I116" t="str">
            <v>否</v>
          </cell>
          <cell r="J116" t="str">
            <v>否</v>
          </cell>
          <cell r="K116" t="str">
            <v>深圳积木易搭科技技术有限公司</v>
          </cell>
          <cell r="L116" t="str">
            <v/>
          </cell>
          <cell r="M116" t="str">
            <v>2023-09-01 10:55:38</v>
          </cell>
          <cell r="N116" t="str">
            <v>2025-01-14 13:49:39</v>
          </cell>
          <cell r="O116" t="str">
            <v>单涛</v>
          </cell>
          <cell r="P116" t="str">
            <v>单涛</v>
          </cell>
          <cell r="Q116" t="str">
            <v/>
          </cell>
          <cell r="R116" t="str">
            <v>否</v>
          </cell>
          <cell r="S116" t="str">
            <v/>
          </cell>
          <cell r="T116" t="str">
            <v/>
          </cell>
          <cell r="U116" t="str">
            <v/>
          </cell>
          <cell r="V116" t="str">
            <v/>
          </cell>
          <cell r="W116" t="str">
            <v/>
          </cell>
          <cell r="X116" t="str">
            <v/>
          </cell>
          <cell r="Y116" t="str">
            <v>1300100109</v>
          </cell>
          <cell r="Z116" t="str">
            <v>JML1</v>
          </cell>
          <cell r="AA116" t="str">
            <v>6975925240494</v>
          </cell>
          <cell r="AB116">
            <v>40</v>
          </cell>
          <cell r="AC116">
            <v>12</v>
          </cell>
          <cell r="AD116">
            <v>32</v>
          </cell>
          <cell r="AE116">
            <v>15360</v>
          </cell>
          <cell r="AF116" t="str">
            <v>cm³</v>
          </cell>
          <cell r="AG116">
            <v>3.1</v>
          </cell>
          <cell r="AH116" t="str">
            <v>kg</v>
          </cell>
          <cell r="AI116">
            <v>439.2</v>
          </cell>
          <cell r="AJ116" t="str">
            <v>9031499000</v>
          </cell>
          <cell r="AK116" t="str">
            <v>4PCS/CTN,49*41*35.5cm,13.1KGS</v>
          </cell>
        </row>
        <row r="117">
          <cell r="A117">
            <v>1300100106</v>
          </cell>
          <cell r="B117" t="str">
            <v>三维扫描仪Lynx升级款(英文4规版)</v>
          </cell>
          <cell r="C117" t="str">
            <v>3D Scanner Lynx Premium(EN)</v>
          </cell>
          <cell r="D117" t="str">
            <v>台</v>
          </cell>
          <cell r="E117" t="str">
            <v>6975925240463</v>
          </cell>
          <cell r="F117" t="str">
            <v>Lynx 升级款(英文4规版)</v>
          </cell>
          <cell r="G117" t="str">
            <v>3DMakerpro</v>
          </cell>
          <cell r="H117" t="str">
            <v>三维扫描仪-JML1</v>
          </cell>
          <cell r="I117" t="str">
            <v>否</v>
          </cell>
          <cell r="J117" t="str">
            <v>否</v>
          </cell>
          <cell r="K117" t="str">
            <v>深圳积木易搭科技技术有限公司</v>
          </cell>
          <cell r="L117" t="str">
            <v/>
          </cell>
          <cell r="M117" t="str">
            <v>2023-09-01 10:49:35</v>
          </cell>
          <cell r="N117" t="str">
            <v>2025-01-14 13:49:47</v>
          </cell>
          <cell r="O117" t="str">
            <v>单涛</v>
          </cell>
          <cell r="P117" t="str">
            <v>单涛</v>
          </cell>
          <cell r="Q117" t="str">
            <v/>
          </cell>
          <cell r="R117" t="str">
            <v>否</v>
          </cell>
          <cell r="S117" t="str">
            <v/>
          </cell>
          <cell r="T117" t="str">
            <v/>
          </cell>
          <cell r="U117" t="str">
            <v/>
          </cell>
          <cell r="V117" t="str">
            <v/>
          </cell>
          <cell r="W117" t="str">
            <v/>
          </cell>
          <cell r="X117" t="str">
            <v/>
          </cell>
          <cell r="Y117" t="str">
            <v>1300100106</v>
          </cell>
          <cell r="Z117" t="str">
            <v>JML1</v>
          </cell>
          <cell r="AA117" t="str">
            <v>6975925240463</v>
          </cell>
          <cell r="AB117">
            <v>40</v>
          </cell>
          <cell r="AC117">
            <v>12</v>
          </cell>
          <cell r="AD117">
            <v>32</v>
          </cell>
          <cell r="AE117">
            <v>15360</v>
          </cell>
          <cell r="AF117" t="str">
            <v>cm³</v>
          </cell>
          <cell r="AG117">
            <v>3.1</v>
          </cell>
          <cell r="AH117" t="str">
            <v>kg</v>
          </cell>
          <cell r="AI117">
            <v>439.2</v>
          </cell>
          <cell r="AJ117" t="str">
            <v>9031499000</v>
          </cell>
          <cell r="AK117" t="str">
            <v>4PCS/CTN,49*41*35.5cm,13.1KGS
出卢森堡申报单价：501.86USD</v>
          </cell>
        </row>
        <row r="118">
          <cell r="A118">
            <v>1300100046</v>
          </cell>
          <cell r="B118" t="str">
            <v>三维扫描仪Lynx豪华款(美规)</v>
          </cell>
          <cell r="C118" t="str">
            <v>3D Scanner Lynx Luxury(US)</v>
          </cell>
          <cell r="D118" t="str">
            <v>台</v>
          </cell>
          <cell r="E118" t="str">
            <v>6975925240173</v>
          </cell>
          <cell r="F118" t="str">
            <v>Lynx豪华款(美规)</v>
          </cell>
          <cell r="G118" t="str">
            <v>3DMakerpro</v>
          </cell>
          <cell r="H118" t="str">
            <v>三维扫描仪-JML1</v>
          </cell>
          <cell r="I118" t="str">
            <v>否</v>
          </cell>
          <cell r="J118" t="str">
            <v>否</v>
          </cell>
          <cell r="K118" t="str">
            <v>深圳积木易搭科技技术有限公司</v>
          </cell>
          <cell r="L118" t="str">
            <v/>
          </cell>
          <cell r="M118" t="str">
            <v>2023-05-08 15:19:25</v>
          </cell>
          <cell r="N118" t="str">
            <v>2025-01-14 13:49:57</v>
          </cell>
          <cell r="O118" t="str">
            <v>单涛</v>
          </cell>
          <cell r="P118" t="str">
            <v>单涛</v>
          </cell>
          <cell r="Q118" t="str">
            <v/>
          </cell>
          <cell r="R118" t="str">
            <v>否</v>
          </cell>
          <cell r="S118" t="str">
            <v>4PCS/CTN,18.4KGS,61.5*44.5*35.5cm</v>
          </cell>
          <cell r="T118" t="str">
            <v/>
          </cell>
          <cell r="U118" t="str">
            <v/>
          </cell>
          <cell r="V118" t="str">
            <v/>
          </cell>
          <cell r="W118" t="str">
            <v/>
          </cell>
          <cell r="X118" t="str">
            <v/>
          </cell>
          <cell r="Y118" t="str">
            <v>1300100046</v>
          </cell>
          <cell r="Z118" t="str">
            <v>JML1</v>
          </cell>
          <cell r="AA118" t="str">
            <v>6975925240173</v>
          </cell>
          <cell r="AB118">
            <v>43.5</v>
          </cell>
          <cell r="AC118">
            <v>31.7</v>
          </cell>
          <cell r="AD118">
            <v>14.5</v>
          </cell>
          <cell r="AE118">
            <v>19994.775</v>
          </cell>
          <cell r="AF118" t="str">
            <v>cm³</v>
          </cell>
          <cell r="AG118">
            <v>4.3</v>
          </cell>
          <cell r="AH118" t="str">
            <v>kg</v>
          </cell>
          <cell r="AI118">
            <v>519.2</v>
          </cell>
          <cell r="AJ118" t="str">
            <v>9031499000</v>
          </cell>
          <cell r="AK118" t="str">
            <v>4PCS/CTN,18.4KGS,61.5*44.5*35.5cm</v>
          </cell>
        </row>
        <row r="119">
          <cell r="A119">
            <v>1300100116</v>
          </cell>
          <cell r="B119" t="str">
            <v>三维扫描仪Lynx豪华款(澳规)</v>
          </cell>
          <cell r="C119" t="str">
            <v>3D Scanner Lynx Luxury(AU)</v>
          </cell>
          <cell r="D119" t="str">
            <v>台</v>
          </cell>
          <cell r="E119" t="str">
            <v>6975925240562</v>
          </cell>
          <cell r="F119" t="str">
            <v>Lynx 豪华款(澳规)</v>
          </cell>
          <cell r="G119" t="str">
            <v>3DMakerpro</v>
          </cell>
          <cell r="H119" t="str">
            <v>三维扫描仪-JML1</v>
          </cell>
          <cell r="I119" t="str">
            <v>否</v>
          </cell>
          <cell r="J119" t="str">
            <v>否</v>
          </cell>
          <cell r="K119" t="str">
            <v>深圳积木易搭科技技术有限公司</v>
          </cell>
          <cell r="L119" t="str">
            <v/>
          </cell>
          <cell r="M119" t="str">
            <v>2023-09-01 11:23:48</v>
          </cell>
          <cell r="N119" t="str">
            <v>2025-01-14 13:50:05</v>
          </cell>
          <cell r="O119" t="str">
            <v>单涛</v>
          </cell>
          <cell r="P119" t="str">
            <v>单涛</v>
          </cell>
          <cell r="Q119" t="str">
            <v/>
          </cell>
          <cell r="R119" t="str">
            <v>否</v>
          </cell>
          <cell r="S119" t="str">
            <v/>
          </cell>
          <cell r="T119" t="str">
            <v/>
          </cell>
          <cell r="U119" t="str">
            <v/>
          </cell>
          <cell r="V119" t="str">
            <v/>
          </cell>
          <cell r="W119" t="str">
            <v/>
          </cell>
          <cell r="X119" t="str">
            <v/>
          </cell>
          <cell r="Y119" t="str">
            <v>1300100116</v>
          </cell>
          <cell r="Z119" t="str">
            <v>JML1</v>
          </cell>
          <cell r="AA119" t="str">
            <v>6975925240562</v>
          </cell>
          <cell r="AB119">
            <v>44</v>
          </cell>
          <cell r="AC119">
            <v>32</v>
          </cell>
          <cell r="AD119">
            <v>15</v>
          </cell>
          <cell r="AE119">
            <v>21120</v>
          </cell>
          <cell r="AF119" t="str">
            <v>cm³</v>
          </cell>
          <cell r="AG119">
            <v>4.3</v>
          </cell>
          <cell r="AH119" t="str">
            <v>kg</v>
          </cell>
          <cell r="AI119">
            <v>519.2</v>
          </cell>
          <cell r="AJ119" t="str">
            <v>9031499000</v>
          </cell>
          <cell r="AK119" t="str">
            <v>4PCS/CTN,18.4KGS,61.5*44.5*35.5cm</v>
          </cell>
        </row>
        <row r="120">
          <cell r="A120">
            <v>1300100113</v>
          </cell>
          <cell r="B120" t="str">
            <v>三维扫描仪Lynx豪华款(欧规)</v>
          </cell>
          <cell r="C120" t="str">
            <v>3D Scanner Lynx Luxury(EU)</v>
          </cell>
          <cell r="D120" t="str">
            <v>台</v>
          </cell>
          <cell r="E120" t="str">
            <v>6975925240531</v>
          </cell>
          <cell r="F120" t="str">
            <v>Lynx 豪华款(欧规)</v>
          </cell>
          <cell r="G120" t="str">
            <v>3DMakerpro</v>
          </cell>
          <cell r="H120" t="str">
            <v>三维扫描仪-JML1</v>
          </cell>
          <cell r="I120" t="str">
            <v>否</v>
          </cell>
          <cell r="J120" t="str">
            <v>否</v>
          </cell>
          <cell r="K120" t="str">
            <v>深圳积木易搭科技技术有限公司</v>
          </cell>
          <cell r="L120" t="str">
            <v/>
          </cell>
          <cell r="M120" t="str">
            <v>2023-09-01 11:18:17</v>
          </cell>
          <cell r="N120" t="str">
            <v>2025-01-14 13:50:14</v>
          </cell>
          <cell r="O120" t="str">
            <v>单涛</v>
          </cell>
          <cell r="P120" t="str">
            <v>单涛</v>
          </cell>
          <cell r="Q120" t="str">
            <v/>
          </cell>
          <cell r="R120" t="str">
            <v>否</v>
          </cell>
          <cell r="S120" t="str">
            <v/>
          </cell>
          <cell r="T120" t="str">
            <v/>
          </cell>
          <cell r="U120" t="str">
            <v/>
          </cell>
          <cell r="V120" t="str">
            <v/>
          </cell>
          <cell r="W120" t="str">
            <v/>
          </cell>
          <cell r="X120" t="str">
            <v/>
          </cell>
          <cell r="Y120" t="str">
            <v>1300100113</v>
          </cell>
          <cell r="Z120" t="str">
            <v>JML1</v>
          </cell>
          <cell r="AA120" t="str">
            <v>6975925240531</v>
          </cell>
          <cell r="AB120">
            <v>44</v>
          </cell>
          <cell r="AC120">
            <v>32</v>
          </cell>
          <cell r="AD120">
            <v>15</v>
          </cell>
          <cell r="AE120">
            <v>21120</v>
          </cell>
          <cell r="AF120" t="str">
            <v>cm³</v>
          </cell>
          <cell r="AG120">
            <v>4.3</v>
          </cell>
          <cell r="AH120" t="str">
            <v>kg</v>
          </cell>
          <cell r="AI120">
            <v>519.2</v>
          </cell>
          <cell r="AJ120" t="str">
            <v>9031499000</v>
          </cell>
          <cell r="AK120" t="str">
            <v>4PCS/CTN,18.4KGS,61.5*44.5*35.5cm
出卢森堡申报单价：591.76USD</v>
          </cell>
        </row>
        <row r="121">
          <cell r="A121">
            <v>1300100110</v>
          </cell>
          <cell r="B121" t="str">
            <v>三维扫描仪Lynx豪华款(英规)</v>
          </cell>
          <cell r="C121" t="str">
            <v>3D Scanner Lynx Luxury(UK)</v>
          </cell>
          <cell r="D121" t="str">
            <v>台</v>
          </cell>
          <cell r="E121" t="str">
            <v>6975925240500</v>
          </cell>
          <cell r="F121" t="str">
            <v>Lynx 豪华款(英规)</v>
          </cell>
          <cell r="G121" t="str">
            <v>3DMakerpro</v>
          </cell>
          <cell r="H121" t="str">
            <v>三维扫描仪-JML1</v>
          </cell>
          <cell r="I121" t="str">
            <v>否</v>
          </cell>
          <cell r="J121" t="str">
            <v>否</v>
          </cell>
          <cell r="K121" t="str">
            <v>深圳积木易搭科技技术有限公司</v>
          </cell>
          <cell r="L121" t="str">
            <v/>
          </cell>
          <cell r="M121" t="str">
            <v>2023-09-01 10:57:03</v>
          </cell>
          <cell r="N121" t="str">
            <v>2025-01-14 13:50:22</v>
          </cell>
          <cell r="O121" t="str">
            <v>单涛</v>
          </cell>
          <cell r="P121" t="str">
            <v>单涛</v>
          </cell>
          <cell r="Q121" t="str">
            <v/>
          </cell>
          <cell r="R121" t="str">
            <v>否</v>
          </cell>
          <cell r="S121" t="str">
            <v/>
          </cell>
          <cell r="T121" t="str">
            <v/>
          </cell>
          <cell r="U121" t="str">
            <v/>
          </cell>
          <cell r="V121" t="str">
            <v/>
          </cell>
          <cell r="W121" t="str">
            <v/>
          </cell>
          <cell r="X121" t="str">
            <v/>
          </cell>
          <cell r="Y121" t="str">
            <v>1300100110</v>
          </cell>
          <cell r="Z121" t="str">
            <v>JML1</v>
          </cell>
          <cell r="AA121" t="str">
            <v>6975925240500</v>
          </cell>
          <cell r="AB121">
            <v>44</v>
          </cell>
          <cell r="AC121">
            <v>32</v>
          </cell>
          <cell r="AD121">
            <v>15</v>
          </cell>
          <cell r="AE121">
            <v>21120</v>
          </cell>
          <cell r="AF121" t="str">
            <v>cm³</v>
          </cell>
          <cell r="AG121">
            <v>4.3</v>
          </cell>
          <cell r="AH121" t="str">
            <v>kg</v>
          </cell>
          <cell r="AI121">
            <v>519.2</v>
          </cell>
          <cell r="AJ121" t="str">
            <v>9031499000</v>
          </cell>
          <cell r="AK121" t="str">
            <v>4PCS/CTN,18.4KGS,61.5*44.5*35.5cm</v>
          </cell>
        </row>
        <row r="122">
          <cell r="A122">
            <v>1300100107</v>
          </cell>
          <cell r="B122" t="str">
            <v>三维扫描仪Lynx豪华款(英文4规版)</v>
          </cell>
          <cell r="C122" t="str">
            <v>3D Scanner Lynx Luxury(EN)</v>
          </cell>
          <cell r="D122" t="str">
            <v>台</v>
          </cell>
          <cell r="E122" t="str">
            <v>6975925240470</v>
          </cell>
          <cell r="F122" t="str">
            <v>Lynx 豪华款(英文4规版)</v>
          </cell>
          <cell r="G122" t="str">
            <v>3DMakerpro</v>
          </cell>
          <cell r="H122" t="str">
            <v>三维扫描仪-JML1</v>
          </cell>
          <cell r="I122" t="str">
            <v>否</v>
          </cell>
          <cell r="J122" t="str">
            <v>否</v>
          </cell>
          <cell r="K122" t="str">
            <v>深圳积木易搭科技技术有限公司</v>
          </cell>
          <cell r="L122" t="str">
            <v/>
          </cell>
          <cell r="M122" t="str">
            <v>2023-09-01 10:50:51</v>
          </cell>
          <cell r="N122" t="str">
            <v>2025-01-14 13:50:31</v>
          </cell>
          <cell r="O122" t="str">
            <v>单涛</v>
          </cell>
          <cell r="P122" t="str">
            <v>单涛</v>
          </cell>
          <cell r="Q122" t="str">
            <v/>
          </cell>
          <cell r="R122" t="str">
            <v>否</v>
          </cell>
          <cell r="S122" t="str">
            <v/>
          </cell>
          <cell r="T122" t="str">
            <v/>
          </cell>
          <cell r="U122" t="str">
            <v/>
          </cell>
          <cell r="V122" t="str">
            <v/>
          </cell>
          <cell r="W122" t="str">
            <v/>
          </cell>
          <cell r="X122" t="str">
            <v/>
          </cell>
          <cell r="Y122" t="str">
            <v>1300100107</v>
          </cell>
          <cell r="Z122" t="str">
            <v>JML1</v>
          </cell>
          <cell r="AA122" t="str">
            <v>6975925240470</v>
          </cell>
          <cell r="AB122">
            <v>44</v>
          </cell>
          <cell r="AC122">
            <v>32</v>
          </cell>
          <cell r="AD122">
            <v>15</v>
          </cell>
          <cell r="AE122">
            <v>21120</v>
          </cell>
          <cell r="AF122" t="str">
            <v>cm³</v>
          </cell>
          <cell r="AG122">
            <v>4.3</v>
          </cell>
          <cell r="AH122" t="str">
            <v>kg</v>
          </cell>
          <cell r="AI122">
            <v>519.2</v>
          </cell>
          <cell r="AJ122" t="str">
            <v>9031499000</v>
          </cell>
          <cell r="AK122" t="str">
            <v>4PCS/CTN,18.4KGS,61.5*44.5*35.5cm
出卢森堡申报单价：591.76USD</v>
          </cell>
        </row>
        <row r="123">
          <cell r="A123">
            <v>1300100067</v>
          </cell>
          <cell r="B123" t="str">
            <v>三维扫描仪Lynx基础款(日文版)</v>
          </cell>
          <cell r="C123" t="str">
            <v>3D Scanner Lynx Standard(JP)</v>
          </cell>
          <cell r="D123" t="str">
            <v>台</v>
          </cell>
          <cell r="E123" t="str">
            <v>6975925240425</v>
          </cell>
          <cell r="F123" t="str">
            <v>Lynx 基础款（日文版）</v>
          </cell>
          <cell r="G123" t="str">
            <v>3DMakerpro</v>
          </cell>
          <cell r="H123" t="str">
            <v>三维扫描仪-JML1</v>
          </cell>
          <cell r="I123" t="str">
            <v>否</v>
          </cell>
          <cell r="J123" t="str">
            <v>否</v>
          </cell>
          <cell r="K123" t="str">
            <v>深圳积木易搭科技技术有限公司</v>
          </cell>
          <cell r="L123" t="str">
            <v/>
          </cell>
          <cell r="M123" t="str">
            <v>2023-08-21 16:57:09</v>
          </cell>
          <cell r="N123" t="str">
            <v>2025-01-14 13:50:39</v>
          </cell>
          <cell r="O123" t="str">
            <v>单涛</v>
          </cell>
          <cell r="P123" t="str">
            <v>单涛</v>
          </cell>
          <cell r="Q123" t="str">
            <v/>
          </cell>
          <cell r="R123" t="str">
            <v>否</v>
          </cell>
          <cell r="S123" t="str">
            <v/>
          </cell>
          <cell r="T123" t="str">
            <v/>
          </cell>
          <cell r="U123" t="str">
            <v/>
          </cell>
          <cell r="V123" t="str">
            <v/>
          </cell>
          <cell r="W123" t="str">
            <v/>
          </cell>
          <cell r="X123" t="str">
            <v/>
          </cell>
          <cell r="Y123" t="str">
            <v>1300100067</v>
          </cell>
          <cell r="Z123" t="str">
            <v>JML1</v>
          </cell>
          <cell r="AA123" t="str">
            <v>6975925240425</v>
          </cell>
          <cell r="AB123">
            <v>30</v>
          </cell>
          <cell r="AC123">
            <v>19</v>
          </cell>
          <cell r="AD123">
            <v>9</v>
          </cell>
          <cell r="AE123">
            <v>5130</v>
          </cell>
          <cell r="AF123" t="str">
            <v>cm³</v>
          </cell>
          <cell r="AG123">
            <v>1.2</v>
          </cell>
          <cell r="AH123" t="str">
            <v>kg</v>
          </cell>
          <cell r="AI123">
            <v>367.2</v>
          </cell>
          <cell r="AJ123" t="str">
            <v>9031499000</v>
          </cell>
          <cell r="AK123" t="str">
            <v>13.2KGS,49*41*36cm,10PCS/CTNS</v>
          </cell>
        </row>
        <row r="124">
          <cell r="A124">
            <v>1300100068</v>
          </cell>
          <cell r="B124" t="str">
            <v>三维扫描仪Lynx升级款(日文版)</v>
          </cell>
          <cell r="C124" t="str">
            <v>3D Scanner Lynx Premium(JP)</v>
          </cell>
          <cell r="D124" t="str">
            <v>台</v>
          </cell>
          <cell r="E124" t="str">
            <v>6975925240432</v>
          </cell>
          <cell r="F124" t="str">
            <v>Lynx 升级款（日文版）</v>
          </cell>
          <cell r="G124" t="str">
            <v>3DMakerpro</v>
          </cell>
          <cell r="H124" t="str">
            <v>三维扫描仪-JML1</v>
          </cell>
          <cell r="I124" t="str">
            <v>否</v>
          </cell>
          <cell r="J124" t="str">
            <v>否</v>
          </cell>
          <cell r="K124" t="str">
            <v>深圳积木易搭科技技术有限公司</v>
          </cell>
          <cell r="L124" t="str">
            <v/>
          </cell>
          <cell r="M124" t="str">
            <v>2023-08-21 16:59:30</v>
          </cell>
          <cell r="N124" t="str">
            <v>2025-01-14 13:50:49</v>
          </cell>
          <cell r="O124" t="str">
            <v>单涛</v>
          </cell>
          <cell r="P124" t="str">
            <v>单涛</v>
          </cell>
          <cell r="Q124" t="str">
            <v/>
          </cell>
          <cell r="R124" t="str">
            <v>否</v>
          </cell>
          <cell r="S124" t="str">
            <v/>
          </cell>
          <cell r="T124" t="str">
            <v/>
          </cell>
          <cell r="U124" t="str">
            <v/>
          </cell>
          <cell r="V124" t="str">
            <v/>
          </cell>
          <cell r="W124" t="str">
            <v/>
          </cell>
          <cell r="X124" t="str">
            <v/>
          </cell>
          <cell r="Y124" t="str">
            <v>1300100068</v>
          </cell>
          <cell r="Z124" t="str">
            <v>JML1</v>
          </cell>
          <cell r="AA124" t="str">
            <v>6975925240432</v>
          </cell>
          <cell r="AB124">
            <v>40</v>
          </cell>
          <cell r="AC124">
            <v>12</v>
          </cell>
          <cell r="AD124">
            <v>32</v>
          </cell>
          <cell r="AE124">
            <v>15360</v>
          </cell>
          <cell r="AF124" t="str">
            <v>cm³</v>
          </cell>
          <cell r="AG124">
            <v>3.1</v>
          </cell>
          <cell r="AH124" t="str">
            <v>kg</v>
          </cell>
          <cell r="AI124">
            <v>439.2</v>
          </cell>
          <cell r="AJ124" t="str">
            <v>9031499000</v>
          </cell>
          <cell r="AK124" t="str">
            <v>4PCS/CTN,49*41*35.5cm,13.1KGS</v>
          </cell>
        </row>
        <row r="125">
          <cell r="A125">
            <v>1300100069</v>
          </cell>
          <cell r="B125" t="str">
            <v>三维扫描仪Lynx豪华款(日文版)</v>
          </cell>
          <cell r="C125" t="str">
            <v>3D Scanner Lynx Luxury(JP)</v>
          </cell>
          <cell r="D125" t="str">
            <v>台</v>
          </cell>
          <cell r="E125" t="str">
            <v>6975925240449</v>
          </cell>
          <cell r="F125" t="str">
            <v>Lynx 豪华款（日文版）</v>
          </cell>
          <cell r="G125" t="str">
            <v>3DMakerpro</v>
          </cell>
          <cell r="H125" t="str">
            <v>三维扫描仪-JML1</v>
          </cell>
          <cell r="I125" t="str">
            <v>否</v>
          </cell>
          <cell r="J125" t="str">
            <v>否</v>
          </cell>
          <cell r="K125" t="str">
            <v>深圳积木易搭科技技术有限公司</v>
          </cell>
          <cell r="L125" t="str">
            <v/>
          </cell>
          <cell r="M125" t="str">
            <v>2023-08-21 17:01:26</v>
          </cell>
          <cell r="N125" t="str">
            <v>2025-01-14 13:50:57</v>
          </cell>
          <cell r="O125" t="str">
            <v>单涛</v>
          </cell>
          <cell r="P125" t="str">
            <v>单涛</v>
          </cell>
          <cell r="Q125" t="str">
            <v/>
          </cell>
          <cell r="R125" t="str">
            <v>否</v>
          </cell>
          <cell r="S125" t="str">
            <v/>
          </cell>
          <cell r="T125" t="str">
            <v/>
          </cell>
          <cell r="U125" t="str">
            <v/>
          </cell>
          <cell r="V125" t="str">
            <v/>
          </cell>
          <cell r="W125" t="str">
            <v/>
          </cell>
          <cell r="X125" t="str">
            <v/>
          </cell>
          <cell r="Y125" t="str">
            <v>1300100069</v>
          </cell>
          <cell r="Z125" t="str">
            <v>JML1</v>
          </cell>
          <cell r="AA125" t="str">
            <v>6975925240449</v>
          </cell>
          <cell r="AB125">
            <v>44</v>
          </cell>
          <cell r="AC125">
            <v>32</v>
          </cell>
          <cell r="AD125">
            <v>15</v>
          </cell>
          <cell r="AE125">
            <v>21120</v>
          </cell>
          <cell r="AF125" t="str">
            <v>cm³</v>
          </cell>
          <cell r="AG125">
            <v>4.3</v>
          </cell>
          <cell r="AH125" t="str">
            <v>kg</v>
          </cell>
          <cell r="AI125">
            <v>519.2</v>
          </cell>
          <cell r="AJ125" t="str">
            <v>9031499000</v>
          </cell>
          <cell r="AK125" t="str">
            <v/>
          </cell>
        </row>
        <row r="126">
          <cell r="A126">
            <v>1300100093</v>
          </cell>
          <cell r="B126" t="str">
            <v>三维扫描仪Lynx基础款(中文版)</v>
          </cell>
          <cell r="C126" t="str">
            <v>3D Scanner Lynx Standard(CN)</v>
          </cell>
          <cell r="D126" t="str">
            <v>台</v>
          </cell>
          <cell r="E126" t="str">
            <v>6975925240395</v>
          </cell>
          <cell r="F126" t="str">
            <v>Lynx 基础款（中文版）</v>
          </cell>
          <cell r="G126" t="str">
            <v>3DMakerpro</v>
          </cell>
          <cell r="H126" t="str">
            <v>三维扫描仪-JML1</v>
          </cell>
          <cell r="I126" t="str">
            <v>否</v>
          </cell>
          <cell r="J126" t="str">
            <v>否</v>
          </cell>
          <cell r="K126" t="str">
            <v>深圳积木易搭科技技术有限公司</v>
          </cell>
          <cell r="L126" t="str">
            <v/>
          </cell>
          <cell r="M126" t="str">
            <v>2023-08-21 17:03:01</v>
          </cell>
          <cell r="N126" t="str">
            <v>2025-01-14 13:51:05</v>
          </cell>
          <cell r="O126" t="str">
            <v>单涛</v>
          </cell>
          <cell r="P126" t="str">
            <v>单涛</v>
          </cell>
          <cell r="Q126" t="str">
            <v/>
          </cell>
          <cell r="R126" t="str">
            <v>否</v>
          </cell>
          <cell r="S126" t="str">
            <v/>
          </cell>
          <cell r="T126" t="str">
            <v/>
          </cell>
          <cell r="U126" t="str">
            <v/>
          </cell>
          <cell r="V126" t="str">
            <v/>
          </cell>
          <cell r="W126" t="str">
            <v/>
          </cell>
          <cell r="X126" t="str">
            <v/>
          </cell>
          <cell r="Y126" t="str">
            <v>1300100093</v>
          </cell>
          <cell r="Z126" t="str">
            <v>JML1</v>
          </cell>
          <cell r="AA126" t="str">
            <v>6975925240395</v>
          </cell>
          <cell r="AB126">
            <v>30</v>
          </cell>
          <cell r="AC126">
            <v>19</v>
          </cell>
          <cell r="AD126">
            <v>9</v>
          </cell>
          <cell r="AE126">
            <v>5130</v>
          </cell>
          <cell r="AF126" t="str">
            <v>cm³</v>
          </cell>
          <cell r="AG126">
            <v>1.2</v>
          </cell>
          <cell r="AH126" t="str">
            <v>kg</v>
          </cell>
          <cell r="AI126">
            <v>367.2</v>
          </cell>
          <cell r="AJ126" t="str">
            <v>9031499000</v>
          </cell>
          <cell r="AK126" t="str">
            <v>13.2KGS,49*41*36cm,10PCS/CTNS</v>
          </cell>
        </row>
        <row r="127">
          <cell r="A127">
            <v>1300100094</v>
          </cell>
          <cell r="B127" t="str">
            <v>三维扫描仪Lynx升级款(中文版)</v>
          </cell>
          <cell r="C127" t="str">
            <v>3D Scanner Lynx Premium(CN)</v>
          </cell>
          <cell r="D127" t="str">
            <v>台</v>
          </cell>
          <cell r="E127" t="str">
            <v>6975925240401</v>
          </cell>
          <cell r="F127" t="str">
            <v>Lynx 升级款（中文版）</v>
          </cell>
          <cell r="G127" t="str">
            <v>3DMakerpro</v>
          </cell>
          <cell r="H127" t="str">
            <v>三维扫描仪-JML1</v>
          </cell>
          <cell r="I127" t="str">
            <v>否</v>
          </cell>
          <cell r="J127" t="str">
            <v>否</v>
          </cell>
          <cell r="K127" t="str">
            <v>深圳积木易搭科技技术有限公司</v>
          </cell>
          <cell r="L127" t="str">
            <v/>
          </cell>
          <cell r="M127" t="str">
            <v>2023-08-21 17:06:15</v>
          </cell>
          <cell r="N127" t="str">
            <v>2025-01-14 13:51:13</v>
          </cell>
          <cell r="O127" t="str">
            <v>单涛</v>
          </cell>
          <cell r="P127" t="str">
            <v>单涛</v>
          </cell>
          <cell r="Q127" t="str">
            <v/>
          </cell>
          <cell r="R127" t="str">
            <v>否</v>
          </cell>
          <cell r="S127" t="str">
            <v/>
          </cell>
          <cell r="T127" t="str">
            <v/>
          </cell>
          <cell r="U127" t="str">
            <v/>
          </cell>
          <cell r="V127" t="str">
            <v/>
          </cell>
          <cell r="W127" t="str">
            <v/>
          </cell>
          <cell r="X127" t="str">
            <v/>
          </cell>
          <cell r="Y127" t="str">
            <v>1300100094</v>
          </cell>
          <cell r="Z127" t="str">
            <v>JML1</v>
          </cell>
          <cell r="AA127" t="str">
            <v>6975925240401</v>
          </cell>
          <cell r="AB127">
            <v>40</v>
          </cell>
          <cell r="AC127">
            <v>12</v>
          </cell>
          <cell r="AD127">
            <v>32</v>
          </cell>
          <cell r="AE127">
            <v>15360</v>
          </cell>
          <cell r="AF127" t="str">
            <v>cm³</v>
          </cell>
          <cell r="AG127">
            <v>3.1</v>
          </cell>
          <cell r="AH127" t="str">
            <v>kg</v>
          </cell>
          <cell r="AI127">
            <v>439.2</v>
          </cell>
          <cell r="AJ127" t="str">
            <v>9031499000</v>
          </cell>
          <cell r="AK127" t="str">
            <v>4PCS/CTN,49*41*35.5cm,13.1KGS</v>
          </cell>
        </row>
        <row r="128">
          <cell r="A128">
            <v>1300100095</v>
          </cell>
          <cell r="B128" t="str">
            <v>三维扫描仪Lynx豪华款(中文版)</v>
          </cell>
          <cell r="C128" t="str">
            <v>3D Scanner Lynx Luxury(CN)</v>
          </cell>
          <cell r="D128" t="str">
            <v>台</v>
          </cell>
          <cell r="E128" t="str">
            <v>6975925240418</v>
          </cell>
          <cell r="F128" t="str">
            <v>Lynx 豪华款（中文版）</v>
          </cell>
          <cell r="G128" t="str">
            <v>3DMakerpro</v>
          </cell>
          <cell r="H128" t="str">
            <v>三维扫描仪-JML1</v>
          </cell>
          <cell r="I128" t="str">
            <v>否</v>
          </cell>
          <cell r="J128" t="str">
            <v>否</v>
          </cell>
          <cell r="K128" t="str">
            <v>深圳积木易搭科技技术有限公司</v>
          </cell>
          <cell r="L128" t="str">
            <v/>
          </cell>
          <cell r="M128" t="str">
            <v>2023-08-21 17:11:28</v>
          </cell>
          <cell r="N128" t="str">
            <v>2025-01-14 13:51:22</v>
          </cell>
          <cell r="O128" t="str">
            <v>单涛</v>
          </cell>
          <cell r="P128" t="str">
            <v>单涛</v>
          </cell>
          <cell r="Q128" t="str">
            <v/>
          </cell>
          <cell r="R128" t="str">
            <v>否</v>
          </cell>
          <cell r="S128" t="str">
            <v/>
          </cell>
          <cell r="T128" t="str">
            <v/>
          </cell>
          <cell r="U128" t="str">
            <v/>
          </cell>
          <cell r="V128" t="str">
            <v/>
          </cell>
          <cell r="W128" t="str">
            <v/>
          </cell>
          <cell r="X128" t="str">
            <v/>
          </cell>
          <cell r="Y128" t="str">
            <v>1300100095</v>
          </cell>
          <cell r="Z128" t="str">
            <v>JML1</v>
          </cell>
          <cell r="AA128" t="str">
            <v>6975925240418</v>
          </cell>
          <cell r="AB128">
            <v>44</v>
          </cell>
          <cell r="AC128">
            <v>32</v>
          </cell>
          <cell r="AD128">
            <v>15</v>
          </cell>
          <cell r="AE128">
            <v>21120</v>
          </cell>
          <cell r="AF128" t="str">
            <v>cm³</v>
          </cell>
          <cell r="AG128">
            <v>4.3</v>
          </cell>
          <cell r="AH128" t="str">
            <v>kg</v>
          </cell>
          <cell r="AI128">
            <v>519.2</v>
          </cell>
          <cell r="AJ128" t="str">
            <v>9031499000</v>
          </cell>
          <cell r="AK128" t="str">
            <v/>
          </cell>
        </row>
        <row r="129">
          <cell r="A129">
            <v>1300100071</v>
          </cell>
          <cell r="B129" t="str">
            <v>Lynx Connect手机云台(英文版）</v>
          </cell>
          <cell r="C129" t="str">
            <v>Lynx Connect(EN)</v>
          </cell>
          <cell r="D129" t="str">
            <v>台</v>
          </cell>
          <cell r="E129" t="str">
            <v>6975925240241</v>
          </cell>
          <cell r="F129" t="str">
            <v>Lynx Connect手机云台(英文版）</v>
          </cell>
          <cell r="G129" t="str">
            <v>3DMakerpro</v>
          </cell>
          <cell r="H129" t="str">
            <v>三维扫描仪备品备件</v>
          </cell>
          <cell r="I129" t="str">
            <v>否</v>
          </cell>
          <cell r="J129" t="str">
            <v>否</v>
          </cell>
          <cell r="K129" t="str">
            <v>深圳积木易搭科技技术有限公司</v>
          </cell>
          <cell r="L129" t="str">
            <v/>
          </cell>
          <cell r="M129" t="str">
            <v>2023-07-13 17:23:53</v>
          </cell>
          <cell r="N129" t="str">
            <v>2024-10-17 15:33:45</v>
          </cell>
          <cell r="O129" t="str">
            <v>单涛</v>
          </cell>
          <cell r="P129" t="str">
            <v>单涛</v>
          </cell>
          <cell r="Q129" t="str">
            <v/>
          </cell>
          <cell r="R129" t="str">
            <v>否</v>
          </cell>
          <cell r="S129" t="str">
            <v/>
          </cell>
          <cell r="T129" t="str">
            <v/>
          </cell>
          <cell r="U129" t="str">
            <v/>
          </cell>
          <cell r="V129" t="str">
            <v/>
          </cell>
          <cell r="W129" t="str">
            <v/>
          </cell>
          <cell r="X129" t="str">
            <v/>
          </cell>
          <cell r="Y129" t="str">
            <v>1300100071</v>
          </cell>
          <cell r="Z129" t="str">
            <v>-</v>
          </cell>
          <cell r="AA129" t="str">
            <v>6975925240241</v>
          </cell>
          <cell r="AB129">
            <v>14.5</v>
          </cell>
          <cell r="AC129">
            <v>14.1</v>
          </cell>
          <cell r="AD129">
            <v>5</v>
          </cell>
          <cell r="AE129">
            <v>1022.25</v>
          </cell>
          <cell r="AF129" t="str">
            <v>cm³</v>
          </cell>
          <cell r="AG129">
            <v>0.36</v>
          </cell>
          <cell r="AH129" t="str">
            <v>kg</v>
          </cell>
          <cell r="AI129">
            <v>127.2</v>
          </cell>
          <cell r="AJ129" t="str">
            <v>9006919900</v>
          </cell>
          <cell r="AK129" t="str">
            <v>56PCS/CTN,61*36*34cm
出卢森堡申报单价：157.08USD</v>
          </cell>
        </row>
        <row r="130">
          <cell r="A130">
            <v>1300100103</v>
          </cell>
          <cell r="B130" t="str">
            <v>Lynx Connect手机云台(中文版）</v>
          </cell>
          <cell r="C130" t="str">
            <v>Lynx Connect(CN)</v>
          </cell>
          <cell r="D130" t="str">
            <v>台</v>
          </cell>
          <cell r="E130" t="str">
            <v/>
          </cell>
          <cell r="F130" t="str">
            <v>Lynx Connect手机云台(中文版）</v>
          </cell>
          <cell r="G130" t="str">
            <v>3DMakerpro</v>
          </cell>
          <cell r="H130" t="str">
            <v>三维扫描仪备品备件</v>
          </cell>
          <cell r="I130" t="str">
            <v>否</v>
          </cell>
          <cell r="J130" t="str">
            <v>否</v>
          </cell>
          <cell r="K130" t="str">
            <v>深圳积木易搭科技技术有限公司</v>
          </cell>
          <cell r="L130" t="str">
            <v/>
          </cell>
          <cell r="M130" t="str">
            <v>2023-11-24 18:01:25</v>
          </cell>
          <cell r="N130" t="str">
            <v>2024-03-26 18:39:45</v>
          </cell>
          <cell r="O130" t="str">
            <v>单涛</v>
          </cell>
          <cell r="P130" t="str">
            <v>单涛</v>
          </cell>
          <cell r="Q130" t="str">
            <v/>
          </cell>
          <cell r="R130" t="str">
            <v>否</v>
          </cell>
          <cell r="S130" t="str">
            <v/>
          </cell>
          <cell r="T130" t="str">
            <v/>
          </cell>
          <cell r="U130" t="str">
            <v/>
          </cell>
          <cell r="V130" t="str">
            <v/>
          </cell>
          <cell r="W130" t="str">
            <v/>
          </cell>
          <cell r="X130" t="str">
            <v/>
          </cell>
          <cell r="Y130" t="str">
            <v>1300100103</v>
          </cell>
          <cell r="Z130" t="str">
            <v>-</v>
          </cell>
          <cell r="AA130" t="str">
            <v/>
          </cell>
          <cell r="AB130" t="str">
            <v/>
          </cell>
          <cell r="AC130" t="str">
            <v/>
          </cell>
          <cell r="AD130" t="str">
            <v/>
          </cell>
          <cell r="AE130" t="str">
            <v/>
          </cell>
          <cell r="AF130" t="str">
            <v/>
          </cell>
          <cell r="AG130" t="str">
            <v/>
          </cell>
          <cell r="AH130" t="str">
            <v/>
          </cell>
          <cell r="AI130">
            <v>127.2</v>
          </cell>
          <cell r="AJ130" t="str">
            <v>9006919900</v>
          </cell>
          <cell r="AK130" t="str">
            <v/>
          </cell>
        </row>
        <row r="131">
          <cell r="A131">
            <v>1300100075</v>
          </cell>
          <cell r="B131" t="str">
            <v>Lynx转台套餐</v>
          </cell>
          <cell r="C131" t="str">
            <v>Turntable for Lynx</v>
          </cell>
          <cell r="D131" t="str">
            <v>台</v>
          </cell>
          <cell r="E131" t="str">
            <v>6975925240296</v>
          </cell>
          <cell r="F131" t="str">
            <v>Turntable for Magicswift Plus/Lynx</v>
          </cell>
          <cell r="G131" t="str">
            <v>3DMakerpro</v>
          </cell>
          <cell r="H131" t="str">
            <v>三维扫描仪备品备件</v>
          </cell>
          <cell r="I131" t="str">
            <v>否</v>
          </cell>
          <cell r="J131" t="str">
            <v>否</v>
          </cell>
          <cell r="K131" t="str">
            <v>深圳积木易搭科技技术有限公司</v>
          </cell>
          <cell r="L131" t="str">
            <v/>
          </cell>
          <cell r="M131" t="str">
            <v>2023-06-09 13:41:25</v>
          </cell>
          <cell r="N131" t="str">
            <v>2024-10-17 15:43:06</v>
          </cell>
          <cell r="O131" t="str">
            <v>单涛</v>
          </cell>
          <cell r="P131" t="str">
            <v>单涛</v>
          </cell>
          <cell r="Q131" t="str">
            <v/>
          </cell>
          <cell r="R131" t="str">
            <v>否</v>
          </cell>
          <cell r="S131" t="str">
            <v>电压：5V,功率：2.5W</v>
          </cell>
          <cell r="T131" t="str">
            <v/>
          </cell>
          <cell r="U131" t="str">
            <v/>
          </cell>
          <cell r="V131" t="str">
            <v/>
          </cell>
          <cell r="W131" t="str">
            <v/>
          </cell>
          <cell r="X131" t="str">
            <v/>
          </cell>
          <cell r="Y131" t="str">
            <v>1300100075</v>
          </cell>
          <cell r="Z131" t="str">
            <v>-</v>
          </cell>
          <cell r="AA131" t="str">
            <v>6975925240296</v>
          </cell>
          <cell r="AB131">
            <v>29</v>
          </cell>
          <cell r="AC131">
            <v>28</v>
          </cell>
          <cell r="AD131">
            <v>6</v>
          </cell>
          <cell r="AE131">
            <v>4872</v>
          </cell>
          <cell r="AF131" t="str">
            <v>cm³</v>
          </cell>
          <cell r="AG131">
            <v>0.6</v>
          </cell>
          <cell r="AH131" t="str">
            <v>kg</v>
          </cell>
          <cell r="AI131">
            <v>23.2</v>
          </cell>
          <cell r="AJ131" t="str">
            <v>9031900090</v>
          </cell>
          <cell r="AK131" t="str">
            <v>12PCS/CTN,9KGS,61*36*34cm
出卢森堡申报单价：28.65USD</v>
          </cell>
        </row>
        <row r="132">
          <cell r="A132">
            <v>1300100073</v>
          </cell>
          <cell r="B132" t="str">
            <v>Lynx三脚架套餐</v>
          </cell>
          <cell r="C132" t="str">
            <v>Tripod for Lynx</v>
          </cell>
          <cell r="D132" t="str">
            <v>个</v>
          </cell>
          <cell r="E132" t="str">
            <v>6975925240272</v>
          </cell>
          <cell r="F132" t="str">
            <v>Tripod for Lynx</v>
          </cell>
          <cell r="G132" t="str">
            <v>3DMakerpro</v>
          </cell>
          <cell r="H132" t="str">
            <v>三维扫描仪备品备件</v>
          </cell>
          <cell r="I132" t="str">
            <v>否</v>
          </cell>
          <cell r="J132" t="str">
            <v>否</v>
          </cell>
          <cell r="K132" t="str">
            <v>深圳积木易搭科技技术有限公司</v>
          </cell>
          <cell r="L132" t="str">
            <v/>
          </cell>
          <cell r="M132" t="str">
            <v>2023-06-09 13:38:27</v>
          </cell>
          <cell r="N132" t="str">
            <v>2024-10-17 15:37:25</v>
          </cell>
          <cell r="O132" t="str">
            <v>单涛</v>
          </cell>
          <cell r="P132" t="str">
            <v>单涛</v>
          </cell>
          <cell r="Q132" t="str">
            <v/>
          </cell>
          <cell r="R132" t="str">
            <v>否</v>
          </cell>
          <cell r="S132" t="str">
            <v/>
          </cell>
          <cell r="T132" t="str">
            <v/>
          </cell>
          <cell r="U132" t="str">
            <v/>
          </cell>
          <cell r="V132" t="str">
            <v/>
          </cell>
          <cell r="W132" t="str">
            <v/>
          </cell>
          <cell r="X132" t="str">
            <v/>
          </cell>
          <cell r="Y132" t="str">
            <v>1300100073</v>
          </cell>
          <cell r="Z132" t="str">
            <v>-</v>
          </cell>
          <cell r="AA132" t="str">
            <v>6975925240272</v>
          </cell>
          <cell r="AB132">
            <v>33</v>
          </cell>
          <cell r="AC132">
            <v>16</v>
          </cell>
          <cell r="AD132">
            <v>5</v>
          </cell>
          <cell r="AE132">
            <v>2640</v>
          </cell>
          <cell r="AF132" t="str">
            <v>cm³</v>
          </cell>
          <cell r="AG132">
            <v>0.5</v>
          </cell>
          <cell r="AH132" t="str">
            <v>kg</v>
          </cell>
          <cell r="AI132">
            <v>31.2</v>
          </cell>
          <cell r="AJ132" t="str">
            <v>9620009000</v>
          </cell>
          <cell r="AK132" t="str">
            <v>27PCS/CTN,14.5KGS,61*36*34cm
出卢森堡申报单价：38.53USD</v>
          </cell>
        </row>
        <row r="133">
          <cell r="A133">
            <v>1300100078</v>
          </cell>
          <cell r="B133" t="str">
            <v>Lynx 4M延长线缆套装</v>
          </cell>
          <cell r="C133" t="str">
            <v>4m Device cable for Lynx 3D Scanner</v>
          </cell>
          <cell r="D133" t="str">
            <v>根</v>
          </cell>
          <cell r="E133" t="str">
            <v>6975925240265</v>
          </cell>
          <cell r="F133" t="str">
            <v>4m Device cable for Lynx</v>
          </cell>
          <cell r="G133" t="str">
            <v>3DMakerpro</v>
          </cell>
          <cell r="H133" t="str">
            <v>三维扫描仪备品备件</v>
          </cell>
          <cell r="I133" t="str">
            <v>否</v>
          </cell>
          <cell r="J133" t="str">
            <v>否</v>
          </cell>
          <cell r="K133" t="str">
            <v>深圳积木易搭科技技术有限公司</v>
          </cell>
          <cell r="L133" t="str">
            <v/>
          </cell>
          <cell r="M133" t="str">
            <v>2023-06-09 10:16:10</v>
          </cell>
          <cell r="N133" t="str">
            <v>2024-10-17 15:35:59</v>
          </cell>
          <cell r="O133" t="str">
            <v>单涛</v>
          </cell>
          <cell r="P133" t="str">
            <v>单涛</v>
          </cell>
          <cell r="Q133" t="str">
            <v/>
          </cell>
          <cell r="R133" t="str">
            <v>否</v>
          </cell>
          <cell r="S133" t="str">
            <v/>
          </cell>
          <cell r="T133" t="str">
            <v/>
          </cell>
          <cell r="U133" t="str">
            <v/>
          </cell>
          <cell r="V133" t="str">
            <v/>
          </cell>
          <cell r="W133" t="str">
            <v/>
          </cell>
          <cell r="X133" t="str">
            <v/>
          </cell>
          <cell r="Y133" t="str">
            <v>1300100078</v>
          </cell>
          <cell r="Z133" t="str">
            <v>-</v>
          </cell>
          <cell r="AA133" t="str">
            <v>6975925240265</v>
          </cell>
          <cell r="AB133">
            <v>14</v>
          </cell>
          <cell r="AC133">
            <v>14</v>
          </cell>
          <cell r="AD133">
            <v>5</v>
          </cell>
          <cell r="AE133">
            <v>980</v>
          </cell>
          <cell r="AF133" t="str">
            <v>cm³</v>
          </cell>
          <cell r="AG133">
            <v>0.35</v>
          </cell>
          <cell r="AH133" t="str">
            <v>kg</v>
          </cell>
          <cell r="AI133">
            <v>39.2</v>
          </cell>
          <cell r="AJ133" t="str">
            <v>8544421100</v>
          </cell>
          <cell r="AK133" t="str">
            <v>56PCS/CTN,61*36*34cm
出卢森堡申报单价：48.41USD</v>
          </cell>
        </row>
        <row r="134">
          <cell r="A134">
            <v>1200100055</v>
          </cell>
          <cell r="B134" t="str">
            <v>Lynx云台短线套装(英文版）</v>
          </cell>
          <cell r="C134" t="str">
            <v>Connect cable for Lynx</v>
          </cell>
          <cell r="D134" t="str">
            <v>根</v>
          </cell>
          <cell r="E134" t="str">
            <v>6975925240302</v>
          </cell>
          <cell r="F134" t="str">
            <v>Lynx云台短线套装</v>
          </cell>
          <cell r="G134" t="str">
            <v>3DMakerpro</v>
          </cell>
          <cell r="H134" t="str">
            <v>三维扫描仪备品备件</v>
          </cell>
          <cell r="I134" t="str">
            <v>否</v>
          </cell>
          <cell r="J134" t="str">
            <v>否</v>
          </cell>
          <cell r="K134" t="str">
            <v>深圳积木易搭科技技术有限公司</v>
          </cell>
          <cell r="L134" t="str">
            <v/>
          </cell>
          <cell r="M134" t="str">
            <v>2023-07-25 10:35:28</v>
          </cell>
          <cell r="N134" t="str">
            <v>2024-02-23 11:46:12</v>
          </cell>
          <cell r="O134" t="str">
            <v>单涛</v>
          </cell>
          <cell r="P134" t="str">
            <v>单涛</v>
          </cell>
          <cell r="Q134" t="str">
            <v/>
          </cell>
          <cell r="R134" t="str">
            <v>否</v>
          </cell>
          <cell r="S134" t="str">
            <v/>
          </cell>
          <cell r="T134" t="str">
            <v/>
          </cell>
          <cell r="U134" t="str">
            <v/>
          </cell>
          <cell r="V134" t="str">
            <v/>
          </cell>
          <cell r="W134" t="str">
            <v/>
          </cell>
          <cell r="X134" t="str">
            <v/>
          </cell>
          <cell r="Y134" t="str">
            <v>1200100055</v>
          </cell>
          <cell r="Z134" t="str">
            <v>-</v>
          </cell>
          <cell r="AA134" t="str">
            <v>6975925240302</v>
          </cell>
          <cell r="AB134">
            <v>14.1</v>
          </cell>
          <cell r="AC134">
            <v>14.5</v>
          </cell>
          <cell r="AD134">
            <v>5</v>
          </cell>
          <cell r="AE134">
            <v>1022.25</v>
          </cell>
          <cell r="AF134" t="str">
            <v>cm³</v>
          </cell>
          <cell r="AG134">
            <v>0.11</v>
          </cell>
          <cell r="AH134" t="str">
            <v>kg</v>
          </cell>
          <cell r="AI134" t="str">
            <v/>
          </cell>
          <cell r="AJ134" t="str">
            <v>8544421100</v>
          </cell>
          <cell r="AK134" t="str">
            <v/>
          </cell>
        </row>
        <row r="135">
          <cell r="A135">
            <v>1200100037</v>
          </cell>
          <cell r="B135" t="str">
            <v>三维扫描仪Lynx整机</v>
          </cell>
          <cell r="C135" t="str">
            <v>3D Scanner Lynx</v>
          </cell>
          <cell r="D135" t="str">
            <v>台</v>
          </cell>
          <cell r="E135" t="str">
            <v/>
          </cell>
          <cell r="F135" t="str">
            <v>Lynx整机</v>
          </cell>
          <cell r="G135" t="str">
            <v>3DMakerpro</v>
          </cell>
          <cell r="H135" t="str">
            <v>三维扫描仪-JML1</v>
          </cell>
          <cell r="I135" t="str">
            <v>否</v>
          </cell>
          <cell r="J135" t="str">
            <v>否</v>
          </cell>
          <cell r="K135" t="str">
            <v>深圳积木易搭科技技术有限公司</v>
          </cell>
          <cell r="L135" t="str">
            <v/>
          </cell>
          <cell r="M135" t="str">
            <v>2023-06-19 18:51:18</v>
          </cell>
          <cell r="N135" t="str">
            <v>2025-01-14 13:51:29</v>
          </cell>
          <cell r="O135" t="str">
            <v>单涛</v>
          </cell>
          <cell r="P135" t="str">
            <v>单涛</v>
          </cell>
          <cell r="Q135" t="str">
            <v/>
          </cell>
          <cell r="R135" t="str">
            <v>否</v>
          </cell>
          <cell r="S135" t="str">
            <v>243x75x44mm</v>
          </cell>
          <cell r="T135" t="str">
            <v/>
          </cell>
          <cell r="U135" t="str">
            <v/>
          </cell>
          <cell r="V135" t="str">
            <v/>
          </cell>
          <cell r="W135" t="str">
            <v/>
          </cell>
          <cell r="X135" t="str">
            <v/>
          </cell>
          <cell r="Y135" t="str">
            <v>1200100037</v>
          </cell>
          <cell r="Z135" t="str">
            <v>JML1</v>
          </cell>
          <cell r="AA135" t="str">
            <v/>
          </cell>
          <cell r="AB135" t="str">
            <v/>
          </cell>
          <cell r="AC135" t="str">
            <v/>
          </cell>
          <cell r="AD135" t="str">
            <v/>
          </cell>
          <cell r="AE135" t="str">
            <v/>
          </cell>
          <cell r="AF135" t="str">
            <v/>
          </cell>
          <cell r="AG135" t="str">
            <v/>
          </cell>
          <cell r="AH135" t="str">
            <v/>
          </cell>
          <cell r="AI135" t="str">
            <v/>
          </cell>
          <cell r="AJ135" t="str">
            <v>9031499000</v>
          </cell>
          <cell r="AK135" t="str">
            <v/>
          </cell>
        </row>
        <row r="136">
          <cell r="A136">
            <v>1300100044</v>
          </cell>
          <cell r="B136" t="str">
            <v>三维扫描仪Mole基础款(英文版)</v>
          </cell>
          <cell r="C136" t="str">
            <v>3D Scanner Mole Standard(EN)</v>
          </cell>
          <cell r="D136" t="str">
            <v>台</v>
          </cell>
          <cell r="E136" t="str">
            <v>6975925240135</v>
          </cell>
          <cell r="F136" t="str">
            <v>Mole基础款（英文版）</v>
          </cell>
          <cell r="G136" t="str">
            <v>3DMakerpro</v>
          </cell>
          <cell r="H136" t="str">
            <v>三维扫描仪-JMM1</v>
          </cell>
          <cell r="I136" t="str">
            <v>否</v>
          </cell>
          <cell r="J136" t="str">
            <v>否</v>
          </cell>
          <cell r="K136" t="str">
            <v>深圳积木易搭科技技术有限公司</v>
          </cell>
          <cell r="L136" t="str">
            <v/>
          </cell>
          <cell r="M136" t="str">
            <v>2023-03-17 09:24:43</v>
          </cell>
          <cell r="N136" t="str">
            <v>2025-01-14 13:51:37</v>
          </cell>
          <cell r="O136" t="str">
            <v>单涛</v>
          </cell>
          <cell r="P136" t="str">
            <v>单涛</v>
          </cell>
          <cell r="Q136" t="str">
            <v/>
          </cell>
          <cell r="R136" t="str">
            <v>否</v>
          </cell>
          <cell r="S136" t="str">
            <v>套纸箱：20*20*15cm,1.15KG,8PCS/CTN,物流箱：49*41*36cm</v>
          </cell>
          <cell r="T136" t="str">
            <v/>
          </cell>
          <cell r="U136" t="str">
            <v/>
          </cell>
          <cell r="V136" t="str">
            <v/>
          </cell>
          <cell r="W136" t="str">
            <v/>
          </cell>
          <cell r="X136" t="str">
            <v/>
          </cell>
          <cell r="Y136" t="str">
            <v>1300100044</v>
          </cell>
          <cell r="Z136" t="str">
            <v>JMM1</v>
          </cell>
          <cell r="AA136" t="str">
            <v>6975925240135</v>
          </cell>
          <cell r="AB136">
            <v>19</v>
          </cell>
          <cell r="AC136">
            <v>20</v>
          </cell>
          <cell r="AD136">
            <v>12</v>
          </cell>
          <cell r="AE136">
            <v>4560</v>
          </cell>
          <cell r="AF136" t="str">
            <v>cm³</v>
          </cell>
          <cell r="AG136">
            <v>1.2</v>
          </cell>
          <cell r="AH136" t="str">
            <v>kg</v>
          </cell>
          <cell r="AI136">
            <v>303.2</v>
          </cell>
          <cell r="AJ136" t="str">
            <v>9031499000</v>
          </cell>
          <cell r="AK136" t="str">
            <v>10.2kgs,8PCS/CTN,物流箱49*41*36cm，小纸盒：20*20*15cm
出卢森堡申报单价：575.95USD</v>
          </cell>
        </row>
        <row r="137">
          <cell r="A137">
            <v>1300100038</v>
          </cell>
          <cell r="B137" t="str">
            <v>三维扫描仪Mole升级款(英文版)</v>
          </cell>
          <cell r="C137" t="str">
            <v>3D Scanner Mole Premium(EN)</v>
          </cell>
          <cell r="D137" t="str">
            <v>台</v>
          </cell>
          <cell r="E137" t="str">
            <v>6975925240142</v>
          </cell>
          <cell r="F137" t="str">
            <v>Mole升级款（英文版）</v>
          </cell>
          <cell r="G137" t="str">
            <v>3DMakerpro</v>
          </cell>
          <cell r="H137" t="str">
            <v>三维扫描仪-JMM1</v>
          </cell>
          <cell r="I137" t="str">
            <v>否</v>
          </cell>
          <cell r="J137" t="str">
            <v>否</v>
          </cell>
          <cell r="K137" t="str">
            <v>深圳积木易搭科技技术有限公司</v>
          </cell>
          <cell r="L137" t="str">
            <v/>
          </cell>
          <cell r="M137" t="str">
            <v>2023-02-13 11:27:55</v>
          </cell>
          <cell r="N137" t="str">
            <v>2025-01-14 13:51:45</v>
          </cell>
          <cell r="O137" t="str">
            <v>单涛</v>
          </cell>
          <cell r="P137" t="str">
            <v>单涛</v>
          </cell>
          <cell r="Q137" t="str">
            <v/>
          </cell>
          <cell r="R137" t="str">
            <v>否</v>
          </cell>
          <cell r="S137" t="str">
            <v>60*30*43cm，15.2KGS,6PCS/CTN</v>
          </cell>
          <cell r="T137" t="str">
            <v/>
          </cell>
          <cell r="U137" t="str">
            <v/>
          </cell>
          <cell r="V137" t="str">
            <v/>
          </cell>
          <cell r="W137" t="str">
            <v/>
          </cell>
          <cell r="X137" t="str">
            <v/>
          </cell>
          <cell r="Y137" t="str">
            <v>1300100038</v>
          </cell>
          <cell r="Z137" t="str">
            <v>JMM1</v>
          </cell>
          <cell r="AA137" t="str">
            <v>6975925240142</v>
          </cell>
          <cell r="AB137">
            <v>28.6</v>
          </cell>
          <cell r="AC137">
            <v>13</v>
          </cell>
          <cell r="AD137">
            <v>27.6</v>
          </cell>
          <cell r="AE137">
            <v>10261.68</v>
          </cell>
          <cell r="AF137" t="str">
            <v>cm³</v>
          </cell>
          <cell r="AG137">
            <v>2.4</v>
          </cell>
          <cell r="AH137" t="str">
            <v>kg</v>
          </cell>
          <cell r="AI137">
            <v>351.2</v>
          </cell>
          <cell r="AJ137" t="str">
            <v>9031499000</v>
          </cell>
          <cell r="AK137" t="str">
            <v>60*30*43cm，15.2KGS,6PCS/CTN
出卢森堡申报单价：656.96USD</v>
          </cell>
        </row>
        <row r="138">
          <cell r="A138">
            <v>1300100039</v>
          </cell>
          <cell r="B138" t="str">
            <v>三维扫描仪Mole豪华款(英文版)</v>
          </cell>
          <cell r="C138" t="str">
            <v>3D Scanner Mole Luxury(EN)</v>
          </cell>
          <cell r="D138" t="str">
            <v>台</v>
          </cell>
          <cell r="E138" t="str">
            <v>6975925240159</v>
          </cell>
          <cell r="F138" t="str">
            <v>Mole豪华款（英文版）</v>
          </cell>
          <cell r="G138" t="str">
            <v>3DMakerpro</v>
          </cell>
          <cell r="H138" t="str">
            <v>三维扫描仪-JMM1</v>
          </cell>
          <cell r="I138" t="str">
            <v>否</v>
          </cell>
          <cell r="J138" t="str">
            <v>否</v>
          </cell>
          <cell r="K138" t="str">
            <v>深圳积木易搭科技技术有限公司</v>
          </cell>
          <cell r="L138" t="str">
            <v/>
          </cell>
          <cell r="M138" t="str">
            <v>2023-02-13 11:29:44</v>
          </cell>
          <cell r="N138" t="str">
            <v>2025-01-25 15:54:29</v>
          </cell>
          <cell r="O138" t="str">
            <v>单涛</v>
          </cell>
          <cell r="P138" t="str">
            <v>单涛</v>
          </cell>
          <cell r="Q138" t="str">
            <v/>
          </cell>
          <cell r="R138" t="str">
            <v>否</v>
          </cell>
          <cell r="S138" t="str">
            <v/>
          </cell>
          <cell r="T138" t="str">
            <v/>
          </cell>
          <cell r="U138" t="str">
            <v/>
          </cell>
          <cell r="V138" t="str">
            <v/>
          </cell>
          <cell r="W138" t="str">
            <v/>
          </cell>
          <cell r="X138" t="str">
            <v/>
          </cell>
          <cell r="Y138" t="str">
            <v>1300100039</v>
          </cell>
          <cell r="Z138" t="str">
            <v>JMM1</v>
          </cell>
          <cell r="AA138" t="str">
            <v>6975925240159</v>
          </cell>
          <cell r="AB138">
            <v>35</v>
          </cell>
          <cell r="AC138">
            <v>18</v>
          </cell>
          <cell r="AD138">
            <v>32</v>
          </cell>
          <cell r="AE138">
            <v>20160</v>
          </cell>
          <cell r="AF138" t="str">
            <v>cm³</v>
          </cell>
          <cell r="AG138">
            <v>3.6</v>
          </cell>
          <cell r="AH138" t="str">
            <v>kg</v>
          </cell>
          <cell r="AI138">
            <v>399.2</v>
          </cell>
          <cell r="AJ138" t="str">
            <v>9031499090</v>
          </cell>
          <cell r="AK138" t="str">
            <v>3PCS/CTN,12.36kgs,57x36x35cm,
出卢森堡申报单价：739.95USD</v>
          </cell>
        </row>
        <row r="139">
          <cell r="A139">
            <v>1300100060</v>
          </cell>
          <cell r="B139" t="str">
            <v>三维扫描仪Mole基础款(日文版)</v>
          </cell>
          <cell r="C139" t="str">
            <v>3D Scanner MOLE Standard(JP)</v>
          </cell>
          <cell r="D139" t="str">
            <v>台</v>
          </cell>
          <cell r="E139" t="str">
            <v>6975925240333</v>
          </cell>
          <cell r="F139" t="str">
            <v>Mole基础款（日文版）</v>
          </cell>
          <cell r="G139" t="str">
            <v>3DMakerpro</v>
          </cell>
          <cell r="H139" t="str">
            <v>三维扫描仪-JMM1</v>
          </cell>
          <cell r="I139" t="str">
            <v>否</v>
          </cell>
          <cell r="J139" t="str">
            <v>否</v>
          </cell>
          <cell r="K139" t="str">
            <v>深圳积木易搭科技技术有限公司</v>
          </cell>
          <cell r="L139" t="str">
            <v/>
          </cell>
          <cell r="M139" t="str">
            <v>2023-07-20 16:25:04</v>
          </cell>
          <cell r="N139" t="str">
            <v>2025-01-14 13:52:02</v>
          </cell>
          <cell r="O139" t="str">
            <v>单涛</v>
          </cell>
          <cell r="P139" t="str">
            <v>单涛</v>
          </cell>
          <cell r="Q139" t="str">
            <v/>
          </cell>
          <cell r="R139" t="str">
            <v>否</v>
          </cell>
          <cell r="S139" t="str">
            <v>使用条码6975925240135</v>
          </cell>
          <cell r="T139" t="str">
            <v/>
          </cell>
          <cell r="U139" t="str">
            <v/>
          </cell>
          <cell r="V139" t="str">
            <v/>
          </cell>
          <cell r="W139" t="str">
            <v/>
          </cell>
          <cell r="X139" t="str">
            <v/>
          </cell>
          <cell r="Y139" t="str">
            <v>1300100060</v>
          </cell>
          <cell r="Z139" t="str">
            <v>JMM1</v>
          </cell>
          <cell r="AA139" t="str">
            <v>6975925240333</v>
          </cell>
          <cell r="AB139">
            <v>19</v>
          </cell>
          <cell r="AC139">
            <v>20</v>
          </cell>
          <cell r="AD139">
            <v>12</v>
          </cell>
          <cell r="AE139">
            <v>4560</v>
          </cell>
          <cell r="AF139" t="str">
            <v>cm³</v>
          </cell>
          <cell r="AG139">
            <v>1.2</v>
          </cell>
          <cell r="AH139" t="str">
            <v>kg</v>
          </cell>
          <cell r="AI139">
            <v>303.2</v>
          </cell>
          <cell r="AJ139" t="str">
            <v>9031499000</v>
          </cell>
          <cell r="AK139" t="str">
            <v>10.2kgs,8PCS/CTN,物流箱49*41*36cm，小纸盒：20*20*15cm</v>
          </cell>
        </row>
        <row r="140">
          <cell r="A140">
            <v>1300100049</v>
          </cell>
          <cell r="B140" t="str">
            <v>三维扫描仪Mole升级款(日文版)</v>
          </cell>
          <cell r="C140" t="str">
            <v>3D Scanner MOLE Premium(JP)</v>
          </cell>
          <cell r="D140" t="str">
            <v>台</v>
          </cell>
          <cell r="E140" t="str">
            <v>6975925240340</v>
          </cell>
          <cell r="F140" t="str">
            <v>Mole升级款（日文版）</v>
          </cell>
          <cell r="G140" t="str">
            <v>3DMakerpro</v>
          </cell>
          <cell r="H140" t="str">
            <v>三维扫描仪-JMM1</v>
          </cell>
          <cell r="I140" t="str">
            <v>否</v>
          </cell>
          <cell r="J140" t="str">
            <v>否</v>
          </cell>
          <cell r="K140" t="str">
            <v>深圳积木易搭科技技术有限公司</v>
          </cell>
          <cell r="L140" t="str">
            <v/>
          </cell>
          <cell r="M140" t="str">
            <v>2023-07-20 16:31:05</v>
          </cell>
          <cell r="N140" t="str">
            <v>2025-01-14 13:52:11</v>
          </cell>
          <cell r="O140" t="str">
            <v>单涛</v>
          </cell>
          <cell r="P140" t="str">
            <v>单涛</v>
          </cell>
          <cell r="Q140" t="str">
            <v/>
          </cell>
          <cell r="R140" t="str">
            <v>否</v>
          </cell>
          <cell r="S140" t="str">
            <v>使用条码6975925240142</v>
          </cell>
          <cell r="T140" t="str">
            <v/>
          </cell>
          <cell r="U140" t="str">
            <v/>
          </cell>
          <cell r="V140" t="str">
            <v/>
          </cell>
          <cell r="W140" t="str">
            <v/>
          </cell>
          <cell r="X140" t="str">
            <v/>
          </cell>
          <cell r="Y140" t="str">
            <v>1300100049</v>
          </cell>
          <cell r="Z140" t="str">
            <v>JMM1</v>
          </cell>
          <cell r="AA140" t="str">
            <v>6975925240340</v>
          </cell>
          <cell r="AB140">
            <v>29</v>
          </cell>
          <cell r="AC140">
            <v>13</v>
          </cell>
          <cell r="AD140">
            <v>28</v>
          </cell>
          <cell r="AE140">
            <v>10556</v>
          </cell>
          <cell r="AF140" t="str">
            <v>cm³</v>
          </cell>
          <cell r="AG140">
            <v>2.4</v>
          </cell>
          <cell r="AH140" t="str">
            <v>kg</v>
          </cell>
          <cell r="AI140">
            <v>351.2</v>
          </cell>
          <cell r="AJ140" t="str">
            <v>9031499000</v>
          </cell>
          <cell r="AK140" t="str">
            <v>60*30*43cm，15.2KGS,6PCS/CTN</v>
          </cell>
        </row>
        <row r="141">
          <cell r="A141">
            <v>1300100050</v>
          </cell>
          <cell r="B141" t="str">
            <v>三维扫描仪Mole豪华款(日文版)</v>
          </cell>
          <cell r="C141" t="str">
            <v>3D Scanner Mole Luxury(JP)</v>
          </cell>
          <cell r="D141" t="str">
            <v>台</v>
          </cell>
          <cell r="E141" t="str">
            <v>6975925240357</v>
          </cell>
          <cell r="F141" t="str">
            <v>Mole 豪华款（日文版）</v>
          </cell>
          <cell r="G141" t="str">
            <v>3DMakerpro</v>
          </cell>
          <cell r="H141" t="str">
            <v>三维扫描仪-JMM1</v>
          </cell>
          <cell r="I141" t="str">
            <v>否</v>
          </cell>
          <cell r="J141" t="str">
            <v>否</v>
          </cell>
          <cell r="K141" t="str">
            <v>深圳积木易搭科技技术有限公司</v>
          </cell>
          <cell r="L141" t="str">
            <v/>
          </cell>
          <cell r="M141" t="str">
            <v>2023-08-17 18:13:59</v>
          </cell>
          <cell r="N141" t="str">
            <v>2025-01-14 13:52:20</v>
          </cell>
          <cell r="O141" t="str">
            <v>单涛</v>
          </cell>
          <cell r="P141" t="str">
            <v>单涛</v>
          </cell>
          <cell r="Q141" t="str">
            <v/>
          </cell>
          <cell r="R141" t="str">
            <v>否</v>
          </cell>
          <cell r="S141" t="str">
            <v/>
          </cell>
          <cell r="T141" t="str">
            <v/>
          </cell>
          <cell r="U141" t="str">
            <v/>
          </cell>
          <cell r="V141" t="str">
            <v/>
          </cell>
          <cell r="W141" t="str">
            <v/>
          </cell>
          <cell r="X141" t="str">
            <v/>
          </cell>
          <cell r="Y141" t="str">
            <v>1300100050</v>
          </cell>
          <cell r="Z141" t="str">
            <v>JMM1</v>
          </cell>
          <cell r="AA141" t="str">
            <v>6975925240357</v>
          </cell>
          <cell r="AB141">
            <v>35</v>
          </cell>
          <cell r="AC141">
            <v>18</v>
          </cell>
          <cell r="AD141">
            <v>32</v>
          </cell>
          <cell r="AE141">
            <v>20160</v>
          </cell>
          <cell r="AF141" t="str">
            <v>cm³</v>
          </cell>
          <cell r="AG141">
            <v>3.6</v>
          </cell>
          <cell r="AH141" t="str">
            <v>kg</v>
          </cell>
          <cell r="AI141">
            <v>399.2</v>
          </cell>
          <cell r="AJ141" t="str">
            <v>9031499000</v>
          </cell>
          <cell r="AK141" t="str">
            <v>3PCS/CTN,12.36kgs,57x36x35cm,</v>
          </cell>
        </row>
        <row r="142">
          <cell r="A142">
            <v>1300100090</v>
          </cell>
          <cell r="B142" t="str">
            <v>三维扫描仪Mole基础款(中文版)</v>
          </cell>
          <cell r="C142" t="str">
            <v>3D Scanner Mole Standard(CN)</v>
          </cell>
          <cell r="D142" t="str">
            <v>台</v>
          </cell>
          <cell r="E142" t="str">
            <v>6975925240364</v>
          </cell>
          <cell r="F142" t="str">
            <v>Mole 基础款（中文版）</v>
          </cell>
          <cell r="G142" t="str">
            <v>3DMakerpro</v>
          </cell>
          <cell r="H142" t="str">
            <v>三维扫描仪-JMM1</v>
          </cell>
          <cell r="I142" t="str">
            <v>否</v>
          </cell>
          <cell r="J142" t="str">
            <v>否</v>
          </cell>
          <cell r="K142" t="str">
            <v>深圳积木易搭科技技术有限公司</v>
          </cell>
          <cell r="L142" t="str">
            <v/>
          </cell>
          <cell r="M142" t="str">
            <v>2023-08-21 16:02:37</v>
          </cell>
          <cell r="N142" t="str">
            <v>2025-01-14 13:52:28</v>
          </cell>
          <cell r="O142" t="str">
            <v>单涛</v>
          </cell>
          <cell r="P142" t="str">
            <v>单涛</v>
          </cell>
          <cell r="Q142" t="str">
            <v/>
          </cell>
          <cell r="R142" t="str">
            <v>否</v>
          </cell>
          <cell r="S142" t="str">
            <v/>
          </cell>
          <cell r="T142" t="str">
            <v/>
          </cell>
          <cell r="U142" t="str">
            <v/>
          </cell>
          <cell r="V142" t="str">
            <v/>
          </cell>
          <cell r="W142" t="str">
            <v/>
          </cell>
          <cell r="X142" t="str">
            <v/>
          </cell>
          <cell r="Y142" t="str">
            <v>1300100090</v>
          </cell>
          <cell r="Z142" t="str">
            <v>JMM1</v>
          </cell>
          <cell r="AA142" t="str">
            <v>6975925240364</v>
          </cell>
          <cell r="AB142">
            <v>19</v>
          </cell>
          <cell r="AC142">
            <v>20</v>
          </cell>
          <cell r="AD142">
            <v>12</v>
          </cell>
          <cell r="AE142">
            <v>4560</v>
          </cell>
          <cell r="AF142" t="str">
            <v>cm³</v>
          </cell>
          <cell r="AG142">
            <v>1.2</v>
          </cell>
          <cell r="AH142" t="str">
            <v>kg</v>
          </cell>
          <cell r="AI142">
            <v>303.2</v>
          </cell>
          <cell r="AJ142" t="str">
            <v>9031499000</v>
          </cell>
          <cell r="AK142" t="str">
            <v>10.2kgs,8PCS/CTN,物流箱49*41*36cm，小纸盒：20*20*15cm</v>
          </cell>
        </row>
        <row r="143">
          <cell r="A143">
            <v>1300100091</v>
          </cell>
          <cell r="B143" t="str">
            <v>三维扫描仪Mole升级款(中文版)</v>
          </cell>
          <cell r="C143" t="str">
            <v>3D Scanner Mole Premium(CN)</v>
          </cell>
          <cell r="D143" t="str">
            <v>台</v>
          </cell>
          <cell r="E143" t="str">
            <v>6975925240371</v>
          </cell>
          <cell r="F143" t="str">
            <v>Mole 升级款（中文版）</v>
          </cell>
          <cell r="G143" t="str">
            <v>3DMakerpro</v>
          </cell>
          <cell r="H143" t="str">
            <v>三维扫描仪-JMM1</v>
          </cell>
          <cell r="I143" t="str">
            <v>否</v>
          </cell>
          <cell r="J143" t="str">
            <v>否</v>
          </cell>
          <cell r="K143" t="str">
            <v>深圳积木易搭科技技术有限公司</v>
          </cell>
          <cell r="L143" t="str">
            <v/>
          </cell>
          <cell r="M143" t="str">
            <v>2023-08-21 15:57:31</v>
          </cell>
          <cell r="N143" t="str">
            <v>2025-01-14 13:52:36</v>
          </cell>
          <cell r="O143" t="str">
            <v>单涛</v>
          </cell>
          <cell r="P143" t="str">
            <v>单涛</v>
          </cell>
          <cell r="Q143" t="str">
            <v/>
          </cell>
          <cell r="R143" t="str">
            <v>否</v>
          </cell>
          <cell r="S143" t="str">
            <v/>
          </cell>
          <cell r="T143" t="str">
            <v/>
          </cell>
          <cell r="U143" t="str">
            <v/>
          </cell>
          <cell r="V143" t="str">
            <v/>
          </cell>
          <cell r="W143" t="str">
            <v/>
          </cell>
          <cell r="X143" t="str">
            <v/>
          </cell>
          <cell r="Y143" t="str">
            <v>1300100091</v>
          </cell>
          <cell r="Z143" t="str">
            <v>JMM1</v>
          </cell>
          <cell r="AA143" t="str">
            <v>6975925240371</v>
          </cell>
          <cell r="AB143">
            <v>29</v>
          </cell>
          <cell r="AC143">
            <v>13</v>
          </cell>
          <cell r="AD143">
            <v>28</v>
          </cell>
          <cell r="AE143">
            <v>10556</v>
          </cell>
          <cell r="AF143" t="str">
            <v>cm³</v>
          </cell>
          <cell r="AG143">
            <v>2.4</v>
          </cell>
          <cell r="AH143" t="str">
            <v>kg</v>
          </cell>
          <cell r="AI143">
            <v>351.2</v>
          </cell>
          <cell r="AJ143" t="str">
            <v>9031499000</v>
          </cell>
          <cell r="AK143" t="str">
            <v>60*30*43cm，15.2KGS,6PCS/CTN</v>
          </cell>
        </row>
        <row r="144">
          <cell r="A144">
            <v>1300100092</v>
          </cell>
          <cell r="B144" t="str">
            <v>三维扫描仪Mole豪华款(中文版)</v>
          </cell>
          <cell r="C144" t="str">
            <v>3D Scanner Mole Luxury(CN)</v>
          </cell>
          <cell r="D144" t="str">
            <v>台</v>
          </cell>
          <cell r="E144" t="str">
            <v>6975925240388</v>
          </cell>
          <cell r="F144" t="str">
            <v>Mole 豪华款（中文版）</v>
          </cell>
          <cell r="G144" t="str">
            <v>3DMakerpro</v>
          </cell>
          <cell r="H144" t="str">
            <v>三维扫描仪-JMM1</v>
          </cell>
          <cell r="I144" t="str">
            <v>否</v>
          </cell>
          <cell r="J144" t="str">
            <v>否</v>
          </cell>
          <cell r="K144" t="str">
            <v>深圳积木易搭科技技术有限公司</v>
          </cell>
          <cell r="L144" t="str">
            <v/>
          </cell>
          <cell r="M144" t="str">
            <v>2023-08-21 16:04:22</v>
          </cell>
          <cell r="N144" t="str">
            <v>2025-01-14 13:52:43</v>
          </cell>
          <cell r="O144" t="str">
            <v>单涛</v>
          </cell>
          <cell r="P144" t="str">
            <v>单涛</v>
          </cell>
          <cell r="Q144" t="str">
            <v/>
          </cell>
          <cell r="R144" t="str">
            <v>否</v>
          </cell>
          <cell r="S144" t="str">
            <v/>
          </cell>
          <cell r="T144" t="str">
            <v/>
          </cell>
          <cell r="U144" t="str">
            <v/>
          </cell>
          <cell r="V144" t="str">
            <v/>
          </cell>
          <cell r="W144" t="str">
            <v/>
          </cell>
          <cell r="X144" t="str">
            <v/>
          </cell>
          <cell r="Y144" t="str">
            <v>1300100092</v>
          </cell>
          <cell r="Z144" t="str">
            <v>JMM1</v>
          </cell>
          <cell r="AA144" t="str">
            <v>6975925240388</v>
          </cell>
          <cell r="AB144">
            <v>35</v>
          </cell>
          <cell r="AC144">
            <v>18</v>
          </cell>
          <cell r="AD144">
            <v>32</v>
          </cell>
          <cell r="AE144">
            <v>20160</v>
          </cell>
          <cell r="AF144" t="str">
            <v>cm³</v>
          </cell>
          <cell r="AG144">
            <v>3.6</v>
          </cell>
          <cell r="AH144" t="str">
            <v>kg</v>
          </cell>
          <cell r="AI144">
            <v>399.2</v>
          </cell>
          <cell r="AJ144" t="str">
            <v>9031499000</v>
          </cell>
          <cell r="AK144" t="str">
            <v>3PCS/CTN,12.36kgs,57x36x35cm,</v>
          </cell>
        </row>
        <row r="145">
          <cell r="A145">
            <v>1300100064</v>
          </cell>
          <cell r="B145" t="str">
            <v>三维扫描仪Mole蓝光医疗升级款</v>
          </cell>
          <cell r="C145" t="str">
            <v>3D Scanner Mole Pro Premium</v>
          </cell>
          <cell r="D145" t="str">
            <v>台</v>
          </cell>
          <cell r="E145" t="str">
            <v>6975925241019</v>
          </cell>
          <cell r="F145" t="str">
            <v>三维扫描仪Mole蓝光医疗升级款</v>
          </cell>
          <cell r="G145" t="str">
            <v>3DMakerpro</v>
          </cell>
          <cell r="H145" t="str">
            <v>三维扫描仪-JMM2</v>
          </cell>
          <cell r="I145" t="str">
            <v>否</v>
          </cell>
          <cell r="J145" t="str">
            <v>否</v>
          </cell>
          <cell r="K145" t="str">
            <v>深圳积木易搭科技技术有限公司</v>
          </cell>
          <cell r="L145" t="str">
            <v/>
          </cell>
          <cell r="M145" t="str">
            <v>2023-09-18 09:24:35</v>
          </cell>
          <cell r="N145" t="str">
            <v>2025-01-14 13:52:51</v>
          </cell>
          <cell r="O145" t="str">
            <v>单涛</v>
          </cell>
          <cell r="P145" t="str">
            <v>单涛</v>
          </cell>
          <cell r="Q145" t="str">
            <v/>
          </cell>
          <cell r="R145" t="str">
            <v>否</v>
          </cell>
          <cell r="S145" t="str">
            <v/>
          </cell>
          <cell r="T145" t="str">
            <v/>
          </cell>
          <cell r="U145" t="str">
            <v/>
          </cell>
          <cell r="V145" t="str">
            <v/>
          </cell>
          <cell r="W145" t="str">
            <v/>
          </cell>
          <cell r="X145" t="str">
            <v/>
          </cell>
          <cell r="Y145" t="str">
            <v>1300100064</v>
          </cell>
          <cell r="Z145" t="str">
            <v>JMM2</v>
          </cell>
          <cell r="AA145" t="str">
            <v>6975925241019</v>
          </cell>
          <cell r="AB145">
            <v>29</v>
          </cell>
          <cell r="AC145">
            <v>13</v>
          </cell>
          <cell r="AD145">
            <v>28</v>
          </cell>
          <cell r="AE145">
            <v>10556</v>
          </cell>
          <cell r="AF145" t="str">
            <v>cm³</v>
          </cell>
          <cell r="AG145">
            <v>2.4</v>
          </cell>
          <cell r="AH145" t="str">
            <v>kg</v>
          </cell>
          <cell r="AI145" t="str">
            <v/>
          </cell>
          <cell r="AJ145" t="str">
            <v>9031499000</v>
          </cell>
          <cell r="AK145" t="str">
            <v/>
          </cell>
        </row>
        <row r="146">
          <cell r="A146">
            <v>1300100047</v>
          </cell>
          <cell r="B146" t="str">
            <v>Mole Connect手机云台(苹果版)(英文版）</v>
          </cell>
          <cell r="C146" t="str">
            <v>Mole Connect for iOS(EN)</v>
          </cell>
          <cell r="D146" t="str">
            <v>台</v>
          </cell>
          <cell r="E146" t="str">
            <v>6975925240210</v>
          </cell>
          <cell r="F146" t="str">
            <v>Mole Connect for iOS</v>
          </cell>
          <cell r="G146" t="str">
            <v>3DMakerpro</v>
          </cell>
          <cell r="H146" t="str">
            <v>三维扫描仪备品备件</v>
          </cell>
          <cell r="I146" t="str">
            <v>否</v>
          </cell>
          <cell r="J146" t="str">
            <v>否</v>
          </cell>
          <cell r="K146" t="str">
            <v>深圳积木易搭科技技术有限公司</v>
          </cell>
          <cell r="L146" t="str">
            <v/>
          </cell>
          <cell r="M146" t="str">
            <v>2023-04-11 14:14:04</v>
          </cell>
          <cell r="N146" t="str">
            <v>2024-10-17 15:33:26</v>
          </cell>
          <cell r="O146" t="str">
            <v>单涛</v>
          </cell>
          <cell r="P146" t="str">
            <v>单涛</v>
          </cell>
          <cell r="Q146" t="str">
            <v/>
          </cell>
          <cell r="R146" t="str">
            <v>否</v>
          </cell>
          <cell r="S146" t="str">
            <v/>
          </cell>
          <cell r="T146" t="str">
            <v/>
          </cell>
          <cell r="U146" t="str">
            <v/>
          </cell>
          <cell r="V146" t="str">
            <v/>
          </cell>
          <cell r="W146" t="str">
            <v/>
          </cell>
          <cell r="X146" t="str">
            <v/>
          </cell>
          <cell r="Y146" t="str">
            <v>1300100047</v>
          </cell>
          <cell r="Z146" t="str">
            <v>-</v>
          </cell>
          <cell r="AA146" t="str">
            <v>6975925240210</v>
          </cell>
          <cell r="AB146">
            <v>14.5</v>
          </cell>
          <cell r="AC146">
            <v>14.1</v>
          </cell>
          <cell r="AD146">
            <v>5</v>
          </cell>
          <cell r="AE146">
            <v>1022.25</v>
          </cell>
          <cell r="AF146" t="str">
            <v>cm³</v>
          </cell>
          <cell r="AG146">
            <v>0.36</v>
          </cell>
          <cell r="AH146" t="str">
            <v>kg</v>
          </cell>
          <cell r="AI146">
            <v>127.2</v>
          </cell>
          <cell r="AJ146" t="str">
            <v>9006919900</v>
          </cell>
          <cell r="AK146" t="str">
            <v>56PCS/CTN,61*36*34cm
出卢森堡申报单价：157.08USD</v>
          </cell>
        </row>
        <row r="147">
          <cell r="A147">
            <v>1300100048</v>
          </cell>
          <cell r="B147" t="str">
            <v>Mole Connect手机云台(安卓版)(英文版）</v>
          </cell>
          <cell r="C147" t="str">
            <v>Mole Connect for Android(EN)</v>
          </cell>
          <cell r="D147" t="str">
            <v>台</v>
          </cell>
          <cell r="E147" t="str">
            <v>6975925240203</v>
          </cell>
          <cell r="F147" t="str">
            <v>Mole Connect for Android</v>
          </cell>
          <cell r="G147" t="str">
            <v>3DMakerpro</v>
          </cell>
          <cell r="H147" t="str">
            <v>三维扫描仪备品备件</v>
          </cell>
          <cell r="I147" t="str">
            <v>否</v>
          </cell>
          <cell r="J147" t="str">
            <v>否</v>
          </cell>
          <cell r="K147" t="str">
            <v>深圳积木易搭科技技术有限公司</v>
          </cell>
          <cell r="L147" t="str">
            <v/>
          </cell>
          <cell r="M147" t="str">
            <v>2023-04-11 14:15:36</v>
          </cell>
          <cell r="N147" t="str">
            <v>2024-10-17 15:34:08</v>
          </cell>
          <cell r="O147" t="str">
            <v>单涛</v>
          </cell>
          <cell r="P147" t="str">
            <v>单涛</v>
          </cell>
          <cell r="Q147" t="str">
            <v/>
          </cell>
          <cell r="R147" t="str">
            <v>否</v>
          </cell>
          <cell r="S147" t="str">
            <v/>
          </cell>
          <cell r="T147" t="str">
            <v/>
          </cell>
          <cell r="U147" t="str">
            <v/>
          </cell>
          <cell r="V147" t="str">
            <v/>
          </cell>
          <cell r="W147" t="str">
            <v/>
          </cell>
          <cell r="X147" t="str">
            <v/>
          </cell>
          <cell r="Y147" t="str">
            <v>1300100048</v>
          </cell>
          <cell r="Z147" t="str">
            <v>-</v>
          </cell>
          <cell r="AA147" t="str">
            <v>6975925240203</v>
          </cell>
          <cell r="AB147">
            <v>15</v>
          </cell>
          <cell r="AC147">
            <v>14</v>
          </cell>
          <cell r="AD147">
            <v>5</v>
          </cell>
          <cell r="AE147">
            <v>1050</v>
          </cell>
          <cell r="AF147" t="str">
            <v>cm³</v>
          </cell>
          <cell r="AG147">
            <v>0.33</v>
          </cell>
          <cell r="AH147" t="str">
            <v>kg</v>
          </cell>
          <cell r="AI147">
            <v>71.2</v>
          </cell>
          <cell r="AJ147" t="str">
            <v>9006919900</v>
          </cell>
          <cell r="AK147" t="str">
            <v>56PCS/CTN,61*36*34cm
出卢森堡申报单价：87.92USD</v>
          </cell>
        </row>
        <row r="148">
          <cell r="A148">
            <v>1300100066</v>
          </cell>
          <cell r="B148" t="str">
            <v>Mole三脚架套餐</v>
          </cell>
          <cell r="C148" t="str">
            <v>Tripod for Mole</v>
          </cell>
          <cell r="D148" t="str">
            <v>个</v>
          </cell>
          <cell r="E148" t="str">
            <v>6975925240227</v>
          </cell>
          <cell r="F148" t="str">
            <v>Mole三脚架</v>
          </cell>
          <cell r="G148" t="str">
            <v>3DMakerpro</v>
          </cell>
          <cell r="H148" t="str">
            <v>三维扫描仪备品备件</v>
          </cell>
          <cell r="I148" t="str">
            <v>否</v>
          </cell>
          <cell r="J148" t="str">
            <v>否</v>
          </cell>
          <cell r="K148" t="str">
            <v>深圳积木易搭科技技术有限公司</v>
          </cell>
          <cell r="L148" t="str">
            <v/>
          </cell>
          <cell r="M148" t="str">
            <v>2023-04-19 14:16:21</v>
          </cell>
          <cell r="N148" t="str">
            <v>2024-10-17 15:36:53</v>
          </cell>
          <cell r="O148" t="str">
            <v>单涛</v>
          </cell>
          <cell r="P148" t="str">
            <v>单涛</v>
          </cell>
          <cell r="Q148" t="str">
            <v/>
          </cell>
          <cell r="R148" t="str">
            <v>否</v>
          </cell>
          <cell r="S148" t="str">
            <v/>
          </cell>
          <cell r="T148" t="str">
            <v/>
          </cell>
          <cell r="U148" t="str">
            <v/>
          </cell>
          <cell r="V148" t="str">
            <v/>
          </cell>
          <cell r="W148" t="str">
            <v/>
          </cell>
          <cell r="X148" t="str">
            <v/>
          </cell>
          <cell r="Y148" t="str">
            <v>1300100066</v>
          </cell>
          <cell r="Z148" t="str">
            <v>-</v>
          </cell>
          <cell r="AA148" t="str">
            <v>6975925240227</v>
          </cell>
          <cell r="AB148">
            <v>33</v>
          </cell>
          <cell r="AC148">
            <v>16</v>
          </cell>
          <cell r="AD148">
            <v>5</v>
          </cell>
          <cell r="AE148">
            <v>2640</v>
          </cell>
          <cell r="AF148" t="str">
            <v>cm³</v>
          </cell>
          <cell r="AG148">
            <v>0.45</v>
          </cell>
          <cell r="AH148" t="str">
            <v>kg</v>
          </cell>
          <cell r="AI148">
            <v>31.2</v>
          </cell>
          <cell r="AJ148" t="str">
            <v>9620009000</v>
          </cell>
          <cell r="AK148" t="str">
            <v>27PCS/CTN,13.6KGS,61*36*34cm
出卢森堡申报单价：38.53USD</v>
          </cell>
        </row>
        <row r="149">
          <cell r="A149">
            <v>1300100055</v>
          </cell>
          <cell r="B149" t="str">
            <v>Mole 4M延长线缆套装</v>
          </cell>
          <cell r="C149" t="str">
            <v>4m Device cable for Mole 3D Scanner</v>
          </cell>
          <cell r="D149" t="str">
            <v>根</v>
          </cell>
          <cell r="E149" t="str">
            <v>6975925240180</v>
          </cell>
          <cell r="F149" t="str">
            <v>4m Device Cable for Mole</v>
          </cell>
          <cell r="G149" t="str">
            <v>3DMakerpro</v>
          </cell>
          <cell r="H149" t="str">
            <v>三维扫描仪备品备件</v>
          </cell>
          <cell r="I149" t="str">
            <v>否</v>
          </cell>
          <cell r="J149" t="str">
            <v>否</v>
          </cell>
          <cell r="K149" t="str">
            <v>深圳积木易搭科技技术有限公司</v>
          </cell>
          <cell r="L149" t="str">
            <v/>
          </cell>
          <cell r="M149" t="str">
            <v>2023-02-21 14:35:33</v>
          </cell>
          <cell r="N149" t="str">
            <v>2024-10-17 15:35:38</v>
          </cell>
          <cell r="O149" t="str">
            <v>单涛</v>
          </cell>
          <cell r="P149" t="str">
            <v>单涛</v>
          </cell>
          <cell r="Q149" t="str">
            <v/>
          </cell>
          <cell r="R149" t="str">
            <v>否</v>
          </cell>
          <cell r="S149" t="str">
            <v>4M/带拉环/黑色</v>
          </cell>
          <cell r="T149" t="str">
            <v/>
          </cell>
          <cell r="U149" t="str">
            <v/>
          </cell>
          <cell r="V149" t="str">
            <v/>
          </cell>
          <cell r="W149" t="str">
            <v/>
          </cell>
          <cell r="X149" t="str">
            <v/>
          </cell>
          <cell r="Y149" t="str">
            <v>1300100055</v>
          </cell>
          <cell r="Z149" t="str">
            <v>4M5C</v>
          </cell>
          <cell r="AA149" t="str">
            <v>6975925240180</v>
          </cell>
          <cell r="AB149">
            <v>14.3</v>
          </cell>
          <cell r="AC149">
            <v>14.2</v>
          </cell>
          <cell r="AD149">
            <v>5.3</v>
          </cell>
          <cell r="AE149">
            <v>1076.218</v>
          </cell>
          <cell r="AF149" t="str">
            <v>cm³</v>
          </cell>
          <cell r="AG149">
            <v>0.25</v>
          </cell>
          <cell r="AH149" t="str">
            <v>kg</v>
          </cell>
          <cell r="AI149">
            <v>39.2</v>
          </cell>
          <cell r="AJ149" t="str">
            <v>8544421100</v>
          </cell>
          <cell r="AK149" t="str">
            <v>56PCS/CTN,16.4KGS,61*36*34cm
出卢森堡申报单价：48.41USD</v>
          </cell>
        </row>
        <row r="150">
          <cell r="A150">
            <v>1200100056</v>
          </cell>
          <cell r="B150" t="str">
            <v>Mole云台短线套装(英文版）</v>
          </cell>
          <cell r="C150" t="str">
            <v>Connect cable for Mole</v>
          </cell>
          <cell r="D150" t="str">
            <v>根</v>
          </cell>
          <cell r="E150" t="str">
            <v>6975925240319</v>
          </cell>
          <cell r="F150" t="str">
            <v>Mole云台短线套装</v>
          </cell>
          <cell r="G150" t="str">
            <v>3DMakerpro</v>
          </cell>
          <cell r="H150" t="str">
            <v>三维扫描仪备品备件</v>
          </cell>
          <cell r="I150" t="str">
            <v>否</v>
          </cell>
          <cell r="J150" t="str">
            <v>否</v>
          </cell>
          <cell r="K150" t="str">
            <v>深圳积木易搭科技技术有限公司</v>
          </cell>
          <cell r="L150" t="str">
            <v/>
          </cell>
          <cell r="M150" t="str">
            <v>2023-08-01 11:31:42</v>
          </cell>
          <cell r="N150" t="str">
            <v>2024-02-23 11:05:35</v>
          </cell>
          <cell r="O150" t="str">
            <v>单涛</v>
          </cell>
          <cell r="P150" t="str">
            <v>单涛</v>
          </cell>
          <cell r="Q150" t="str">
            <v/>
          </cell>
          <cell r="R150" t="str">
            <v>否</v>
          </cell>
          <cell r="S150" t="str">
            <v/>
          </cell>
          <cell r="T150" t="str">
            <v/>
          </cell>
          <cell r="U150" t="str">
            <v/>
          </cell>
          <cell r="V150" t="str">
            <v/>
          </cell>
          <cell r="W150" t="str">
            <v/>
          </cell>
          <cell r="X150" t="str">
            <v/>
          </cell>
          <cell r="Y150" t="str">
            <v>1200100056</v>
          </cell>
          <cell r="Z150" t="str">
            <v>-</v>
          </cell>
          <cell r="AA150" t="str">
            <v>6975925240319</v>
          </cell>
          <cell r="AB150">
            <v>14.5</v>
          </cell>
          <cell r="AC150">
            <v>14.1</v>
          </cell>
          <cell r="AD150">
            <v>5</v>
          </cell>
          <cell r="AE150">
            <v>1022.25</v>
          </cell>
          <cell r="AF150" t="str">
            <v>cm³</v>
          </cell>
          <cell r="AG150">
            <v>0.13</v>
          </cell>
          <cell r="AH150" t="str">
            <v>kg</v>
          </cell>
          <cell r="AI150">
            <v>29.25</v>
          </cell>
          <cell r="AJ150" t="str">
            <v>8544421100</v>
          </cell>
          <cell r="AK150" t="str">
            <v/>
          </cell>
        </row>
        <row r="151">
          <cell r="A151">
            <v>1300100076</v>
          </cell>
          <cell r="B151" t="str">
            <v>Lizard/Mole转台套餐</v>
          </cell>
          <cell r="C151" t="str">
            <v>Turntable for Lizard/Mole</v>
          </cell>
          <cell r="D151" t="str">
            <v>台</v>
          </cell>
          <cell r="E151" t="str">
            <v>6975925240289</v>
          </cell>
          <cell r="F151" t="str">
            <v>转台Lizard/Mole</v>
          </cell>
          <cell r="G151" t="str">
            <v>3DMakerpro</v>
          </cell>
          <cell r="H151" t="str">
            <v>三维扫描仪备品备件</v>
          </cell>
          <cell r="I151" t="str">
            <v>否</v>
          </cell>
          <cell r="J151" t="str">
            <v>否</v>
          </cell>
          <cell r="K151" t="str">
            <v>深圳积木易搭科技技术有限公司</v>
          </cell>
          <cell r="L151" t="str">
            <v/>
          </cell>
          <cell r="M151" t="str">
            <v>2023-07-24 10:50:27</v>
          </cell>
          <cell r="N151" t="str">
            <v>2024-10-17 15:42:42</v>
          </cell>
          <cell r="O151" t="str">
            <v>单涛</v>
          </cell>
          <cell r="P151" t="str">
            <v>单涛</v>
          </cell>
          <cell r="Q151" t="str">
            <v/>
          </cell>
          <cell r="R151" t="str">
            <v>否</v>
          </cell>
          <cell r="S151" t="str">
            <v>电压：5V,功率：2.5W</v>
          </cell>
          <cell r="T151" t="str">
            <v/>
          </cell>
          <cell r="U151" t="str">
            <v/>
          </cell>
          <cell r="V151" t="str">
            <v/>
          </cell>
          <cell r="W151" t="str">
            <v/>
          </cell>
          <cell r="X151" t="str">
            <v/>
          </cell>
          <cell r="Y151" t="str">
            <v>1300100076</v>
          </cell>
          <cell r="Z151" t="str">
            <v>-</v>
          </cell>
          <cell r="AA151" t="str">
            <v>6975925240289</v>
          </cell>
          <cell r="AB151">
            <v>29</v>
          </cell>
          <cell r="AC151">
            <v>28</v>
          </cell>
          <cell r="AD151">
            <v>6</v>
          </cell>
          <cell r="AE151">
            <v>4872</v>
          </cell>
          <cell r="AF151" t="str">
            <v>cm³</v>
          </cell>
          <cell r="AG151">
            <v>0.45</v>
          </cell>
          <cell r="AH151" t="str">
            <v>kg</v>
          </cell>
          <cell r="AI151">
            <v>23.2</v>
          </cell>
          <cell r="AJ151" t="str">
            <v>9031900090</v>
          </cell>
          <cell r="AK151" t="str">
            <v>12PCS/CTN,7.65KGS,61*36*34cm
出卢森堡申报单价：28.65USD</v>
          </cell>
        </row>
        <row r="152">
          <cell r="A152">
            <v>1200100066</v>
          </cell>
          <cell r="B152" t="str">
            <v>Mole彩色套件(英文版)</v>
          </cell>
          <cell r="C152" t="str">
            <v>Mole Color Kit(EN)</v>
          </cell>
          <cell r="D152" t="str">
            <v>台</v>
          </cell>
          <cell r="E152" t="str">
            <v>6975925240326</v>
          </cell>
          <cell r="F152" t="str">
            <v>Mole Color Kit彩色套件(英文版)</v>
          </cell>
          <cell r="G152" t="str">
            <v>3DMakerpro</v>
          </cell>
          <cell r="H152" t="str">
            <v>三维扫描仪备品备件</v>
          </cell>
          <cell r="I152" t="str">
            <v>否</v>
          </cell>
          <cell r="J152" t="str">
            <v>否</v>
          </cell>
          <cell r="K152" t="str">
            <v>深圳积木易搭科技技术有限公司</v>
          </cell>
          <cell r="L152" t="str">
            <v/>
          </cell>
          <cell r="M152" t="str">
            <v>2023-08-11 13:46:35</v>
          </cell>
          <cell r="N152" t="str">
            <v>2024-02-23 11:05:43</v>
          </cell>
          <cell r="O152" t="str">
            <v>单涛</v>
          </cell>
          <cell r="P152" t="str">
            <v>单涛</v>
          </cell>
          <cell r="Q152" t="str">
            <v/>
          </cell>
          <cell r="R152" t="str">
            <v>否</v>
          </cell>
          <cell r="S152" t="str">
            <v/>
          </cell>
          <cell r="T152" t="str">
            <v/>
          </cell>
          <cell r="U152" t="str">
            <v/>
          </cell>
          <cell r="V152" t="str">
            <v/>
          </cell>
          <cell r="W152" t="str">
            <v/>
          </cell>
          <cell r="X152" t="str">
            <v/>
          </cell>
          <cell r="Y152" t="str">
            <v>1200100066</v>
          </cell>
          <cell r="Z152" t="str">
            <v>-</v>
          </cell>
          <cell r="AA152" t="str">
            <v>6975925240326</v>
          </cell>
          <cell r="AB152">
            <v>36.1</v>
          </cell>
          <cell r="AC152">
            <v>32.1</v>
          </cell>
          <cell r="AD152">
            <v>7.7</v>
          </cell>
          <cell r="AE152">
            <v>8922.837</v>
          </cell>
          <cell r="AF152" t="str">
            <v>cm³</v>
          </cell>
          <cell r="AG152">
            <v>1.45</v>
          </cell>
          <cell r="AH152" t="str">
            <v>kg</v>
          </cell>
          <cell r="AI152" t="str">
            <v/>
          </cell>
          <cell r="AJ152" t="str">
            <v>9006919900</v>
          </cell>
          <cell r="AK152" t="str">
            <v>6PCS/CTN,9.9KGS,49*41*36cm</v>
          </cell>
        </row>
        <row r="153">
          <cell r="A153">
            <v>1200100054</v>
          </cell>
          <cell r="B153" t="str">
            <v>Mole彩色套件(日文版)</v>
          </cell>
          <cell r="C153" t="str">
            <v>Mole Color Kit(JP)</v>
          </cell>
          <cell r="D153" t="str">
            <v>台</v>
          </cell>
          <cell r="E153" t="str">
            <v>6975925240234</v>
          </cell>
          <cell r="F153" t="str">
            <v>Mole Color Kit彩色套件（日版）</v>
          </cell>
          <cell r="G153" t="str">
            <v>3DMakerpro</v>
          </cell>
          <cell r="H153" t="str">
            <v>三维扫描仪备品备件</v>
          </cell>
          <cell r="I153" t="str">
            <v>否</v>
          </cell>
          <cell r="J153" t="str">
            <v>否</v>
          </cell>
          <cell r="K153" t="str">
            <v>深圳积木易搭科技技术有限公司</v>
          </cell>
          <cell r="L153" t="str">
            <v/>
          </cell>
          <cell r="M153" t="str">
            <v>2023-07-07 11:50:10</v>
          </cell>
          <cell r="N153" t="str">
            <v>2024-02-23 11:05:51</v>
          </cell>
          <cell r="O153" t="str">
            <v>单涛</v>
          </cell>
          <cell r="P153" t="str">
            <v>单涛</v>
          </cell>
          <cell r="Q153" t="str">
            <v/>
          </cell>
          <cell r="R153" t="str">
            <v>否</v>
          </cell>
          <cell r="S153" t="str">
            <v/>
          </cell>
          <cell r="T153" t="str">
            <v/>
          </cell>
          <cell r="U153" t="str">
            <v/>
          </cell>
          <cell r="V153" t="str">
            <v/>
          </cell>
          <cell r="W153" t="str">
            <v/>
          </cell>
          <cell r="X153" t="str">
            <v/>
          </cell>
          <cell r="Y153" t="str">
            <v>1200100054</v>
          </cell>
          <cell r="Z153" t="str">
            <v>-</v>
          </cell>
          <cell r="AA153" t="str">
            <v>6975925240234</v>
          </cell>
          <cell r="AB153">
            <v>36.1</v>
          </cell>
          <cell r="AC153">
            <v>32.2</v>
          </cell>
          <cell r="AD153">
            <v>7.7</v>
          </cell>
          <cell r="AE153">
            <v>8950.634</v>
          </cell>
          <cell r="AF153" t="str">
            <v>cm³</v>
          </cell>
          <cell r="AG153">
            <v>1.45</v>
          </cell>
          <cell r="AH153" t="str">
            <v>kg</v>
          </cell>
          <cell r="AI153" t="str">
            <v/>
          </cell>
          <cell r="AJ153" t="str">
            <v>9006919900</v>
          </cell>
          <cell r="AK153" t="str">
            <v>6PCS/CTN,9.9KGS,49*41*36cm</v>
          </cell>
        </row>
        <row r="154">
          <cell r="A154">
            <v>1040600027</v>
          </cell>
          <cell r="B154" t="str">
            <v>Whale/Mole一体线缆</v>
          </cell>
          <cell r="C154" t="str">
            <v>Whale/Mole cable</v>
          </cell>
          <cell r="D154" t="str">
            <v>根</v>
          </cell>
          <cell r="E154" t="str">
            <v/>
          </cell>
          <cell r="F154" t="str">
            <v>Whale/Mole一体线缆</v>
          </cell>
          <cell r="G154" t="str">
            <v/>
          </cell>
          <cell r="H154" t="str">
            <v>三维扫描仪备品备件</v>
          </cell>
          <cell r="I154" t="str">
            <v>否</v>
          </cell>
          <cell r="J154" t="str">
            <v>否</v>
          </cell>
          <cell r="K154" t="str">
            <v>深圳积木易搭科技技术有限公司</v>
          </cell>
          <cell r="L154" t="str">
            <v/>
          </cell>
          <cell r="M154" t="str">
            <v>2023-03-16 16:04:05</v>
          </cell>
          <cell r="N154" t="str">
            <v>2024-02-06 16:29:21</v>
          </cell>
          <cell r="O154" t="str">
            <v>单涛</v>
          </cell>
          <cell r="P154" t="str">
            <v>单涛</v>
          </cell>
          <cell r="Q154" t="str">
            <v/>
          </cell>
          <cell r="R154" t="str">
            <v>否</v>
          </cell>
          <cell r="S154" t="str">
            <v/>
          </cell>
          <cell r="T154" t="str">
            <v/>
          </cell>
          <cell r="U154" t="str">
            <v/>
          </cell>
          <cell r="V154" t="str">
            <v/>
          </cell>
          <cell r="W154" t="str">
            <v/>
          </cell>
          <cell r="X154" t="str">
            <v/>
          </cell>
          <cell r="Y154" t="str">
            <v>1040600027</v>
          </cell>
          <cell r="Z154" t="str">
            <v>DC头/USB 2.0/OB5芯带拉绳/2m/黑色</v>
          </cell>
          <cell r="AA154" t="str">
            <v/>
          </cell>
          <cell r="AB154">
            <v>14</v>
          </cell>
          <cell r="AC154">
            <v>14</v>
          </cell>
          <cell r="AD154">
            <v>5</v>
          </cell>
          <cell r="AE154">
            <v>980</v>
          </cell>
          <cell r="AF154" t="str">
            <v>cm³</v>
          </cell>
          <cell r="AG154">
            <v>0.35</v>
          </cell>
          <cell r="AH154" t="str">
            <v>kg</v>
          </cell>
          <cell r="AI154" t="str">
            <v/>
          </cell>
          <cell r="AJ154" t="str">
            <v>8544421100</v>
          </cell>
          <cell r="AK154" t="str">
            <v/>
          </cell>
        </row>
        <row r="155">
          <cell r="A155">
            <v>1200100030</v>
          </cell>
          <cell r="B155" t="str">
            <v>三维扫描仪Mole整机</v>
          </cell>
          <cell r="C155" t="str">
            <v>3D Scanner Mole</v>
          </cell>
          <cell r="D155" t="str">
            <v>台</v>
          </cell>
          <cell r="E155" t="str">
            <v/>
          </cell>
          <cell r="F155" t="str">
            <v>Mole整机</v>
          </cell>
          <cell r="G155" t="str">
            <v>3DMakerpro</v>
          </cell>
          <cell r="H155" t="str">
            <v>三维扫描仪备品备件</v>
          </cell>
          <cell r="I155" t="str">
            <v>否</v>
          </cell>
          <cell r="J155" t="str">
            <v>否</v>
          </cell>
          <cell r="K155" t="str">
            <v>深圳积木易搭科技技术有限公司</v>
          </cell>
          <cell r="L155" t="str">
            <v/>
          </cell>
          <cell r="M155" t="str">
            <v>2023-05-26 18:09:41</v>
          </cell>
          <cell r="N155" t="str">
            <v>2025-01-14 13:52:59</v>
          </cell>
          <cell r="O155" t="str">
            <v>单涛</v>
          </cell>
          <cell r="P155" t="str">
            <v>单涛</v>
          </cell>
          <cell r="Q155" t="str">
            <v/>
          </cell>
          <cell r="R155" t="str">
            <v>否</v>
          </cell>
          <cell r="S155" t="str">
            <v/>
          </cell>
          <cell r="T155" t="str">
            <v/>
          </cell>
          <cell r="U155" t="str">
            <v/>
          </cell>
          <cell r="V155" t="str">
            <v/>
          </cell>
          <cell r="W155" t="str">
            <v/>
          </cell>
          <cell r="X155" t="str">
            <v/>
          </cell>
          <cell r="Y155" t="str">
            <v>1200100030</v>
          </cell>
          <cell r="Z155" t="str">
            <v>JMM1</v>
          </cell>
          <cell r="AA155" t="str">
            <v/>
          </cell>
          <cell r="AB155">
            <v>22</v>
          </cell>
          <cell r="AC155">
            <v>16</v>
          </cell>
          <cell r="AD155">
            <v>15</v>
          </cell>
          <cell r="AE155">
            <v>5280</v>
          </cell>
          <cell r="AF155" t="str">
            <v>cm³</v>
          </cell>
          <cell r="AG155">
            <v>0.56</v>
          </cell>
          <cell r="AH155" t="str">
            <v>kg</v>
          </cell>
          <cell r="AI155" t="str">
            <v/>
          </cell>
          <cell r="AJ155" t="str">
            <v>9031499000</v>
          </cell>
          <cell r="AK155" t="str">
            <v/>
          </cell>
        </row>
        <row r="156">
          <cell r="A156">
            <v>1200100031</v>
          </cell>
          <cell r="B156" t="str">
            <v>Mole豪华套件装</v>
          </cell>
          <cell r="C156" t="str">
            <v>Mole Color Kit</v>
          </cell>
          <cell r="D156" t="str">
            <v>个</v>
          </cell>
          <cell r="E156" t="str">
            <v/>
          </cell>
          <cell r="F156" t="str">
            <v>Mole豪华套件装</v>
          </cell>
          <cell r="G156" t="str">
            <v/>
          </cell>
          <cell r="H156" t="str">
            <v>三维扫描仪备品备件</v>
          </cell>
          <cell r="I156" t="str">
            <v>否</v>
          </cell>
          <cell r="J156" t="str">
            <v>否</v>
          </cell>
          <cell r="K156" t="str">
            <v>深圳积木易搭科技技术有限公司</v>
          </cell>
          <cell r="L156" t="str">
            <v/>
          </cell>
          <cell r="M156" t="str">
            <v>2023-04-19 14:20:26</v>
          </cell>
          <cell r="N156" t="str">
            <v>2023-12-04 11:31:14</v>
          </cell>
          <cell r="O156" t="str">
            <v>单涛</v>
          </cell>
          <cell r="P156" t="str">
            <v>单涛</v>
          </cell>
          <cell r="Q156" t="str">
            <v/>
          </cell>
          <cell r="R156" t="str">
            <v>否</v>
          </cell>
          <cell r="S156" t="str">
            <v/>
          </cell>
          <cell r="T156" t="str">
            <v/>
          </cell>
          <cell r="U156" t="str">
            <v/>
          </cell>
          <cell r="V156" t="str">
            <v/>
          </cell>
          <cell r="W156" t="str">
            <v/>
          </cell>
          <cell r="X156" t="str">
            <v/>
          </cell>
          <cell r="Y156" t="str">
            <v>1200100031</v>
          </cell>
          <cell r="Z156" t="str">
            <v>Mole Color Kit</v>
          </cell>
          <cell r="AA156" t="str">
            <v/>
          </cell>
          <cell r="AB156">
            <v>36</v>
          </cell>
          <cell r="AC156">
            <v>31</v>
          </cell>
          <cell r="AD156">
            <v>12</v>
          </cell>
          <cell r="AE156">
            <v>13392</v>
          </cell>
          <cell r="AF156" t="str">
            <v>cm³</v>
          </cell>
          <cell r="AG156">
            <v>1.75</v>
          </cell>
          <cell r="AH156" t="str">
            <v>kg</v>
          </cell>
          <cell r="AI156" t="str">
            <v/>
          </cell>
          <cell r="AJ156" t="str">
            <v>9006919900</v>
          </cell>
          <cell r="AK156" t="str">
            <v/>
          </cell>
        </row>
        <row r="157">
          <cell r="A157">
            <v>1300100101</v>
          </cell>
          <cell r="B157" t="str">
            <v>Mole Connect手机云台(苹果版)(中文版）</v>
          </cell>
          <cell r="C157" t="str">
            <v>Mole Connect for iOS(CN)</v>
          </cell>
          <cell r="D157" t="str">
            <v>台</v>
          </cell>
          <cell r="E157" t="str">
            <v/>
          </cell>
          <cell r="F157" t="str">
            <v>Mole Connect手机云台(苹果版)(中文版）</v>
          </cell>
          <cell r="G157" t="str">
            <v>3DMakerpro</v>
          </cell>
          <cell r="H157" t="str">
            <v>三维扫描仪备品备件</v>
          </cell>
          <cell r="I157" t="str">
            <v>否</v>
          </cell>
          <cell r="J157" t="str">
            <v>否</v>
          </cell>
          <cell r="K157" t="str">
            <v>深圳积木易搭科技技术有限公司</v>
          </cell>
          <cell r="L157" t="str">
            <v/>
          </cell>
          <cell r="M157" t="str">
            <v>2023-11-24 18:04:00</v>
          </cell>
          <cell r="N157" t="str">
            <v>2024-03-27 09:39:25</v>
          </cell>
          <cell r="O157" t="str">
            <v>单涛</v>
          </cell>
          <cell r="P157" t="str">
            <v>单涛</v>
          </cell>
          <cell r="Q157" t="str">
            <v/>
          </cell>
          <cell r="R157" t="str">
            <v>否</v>
          </cell>
          <cell r="S157" t="str">
            <v/>
          </cell>
          <cell r="T157" t="str">
            <v/>
          </cell>
          <cell r="U157" t="str">
            <v/>
          </cell>
          <cell r="V157" t="str">
            <v/>
          </cell>
          <cell r="W157" t="str">
            <v/>
          </cell>
          <cell r="X157" t="str">
            <v/>
          </cell>
          <cell r="Y157" t="str">
            <v>1300100101</v>
          </cell>
          <cell r="Z157" t="str">
            <v>-</v>
          </cell>
          <cell r="AA157" t="str">
            <v/>
          </cell>
          <cell r="AB157">
            <v>14.5</v>
          </cell>
          <cell r="AC157">
            <v>14.1</v>
          </cell>
          <cell r="AD157">
            <v>5</v>
          </cell>
          <cell r="AE157">
            <v>1022.25</v>
          </cell>
          <cell r="AF157" t="str">
            <v>cm³</v>
          </cell>
          <cell r="AG157">
            <v>0.36</v>
          </cell>
          <cell r="AH157" t="str">
            <v>kg</v>
          </cell>
          <cell r="AI157">
            <v>127.2</v>
          </cell>
          <cell r="AJ157" t="str">
            <v>9006919900</v>
          </cell>
          <cell r="AK157" t="str">
            <v/>
          </cell>
        </row>
        <row r="158">
          <cell r="A158">
            <v>1300100102</v>
          </cell>
          <cell r="B158" t="str">
            <v>Mole Connect手机云台(安卓版)(中文版）</v>
          </cell>
          <cell r="C158" t="str">
            <v>Mole Connect for Android(CN)</v>
          </cell>
          <cell r="D158" t="str">
            <v>台</v>
          </cell>
          <cell r="E158" t="str">
            <v/>
          </cell>
          <cell r="F158" t="str">
            <v>Mole Connect手机云台(安卓版)(中文版）</v>
          </cell>
          <cell r="G158" t="str">
            <v>3DMakerpro</v>
          </cell>
          <cell r="H158" t="str">
            <v>三维扫描仪备品备件</v>
          </cell>
          <cell r="I158" t="str">
            <v>否</v>
          </cell>
          <cell r="J158" t="str">
            <v>否</v>
          </cell>
          <cell r="K158" t="str">
            <v>深圳积木易搭科技技术有限公司</v>
          </cell>
          <cell r="L158" t="str">
            <v/>
          </cell>
          <cell r="M158" t="str">
            <v>2023-11-24 18:05:57</v>
          </cell>
          <cell r="N158" t="str">
            <v>2024-03-27 09:39:35</v>
          </cell>
          <cell r="O158" t="str">
            <v>单涛</v>
          </cell>
          <cell r="P158" t="str">
            <v>单涛</v>
          </cell>
          <cell r="Q158" t="str">
            <v/>
          </cell>
          <cell r="R158" t="str">
            <v>否</v>
          </cell>
          <cell r="S158" t="str">
            <v/>
          </cell>
          <cell r="T158" t="str">
            <v/>
          </cell>
          <cell r="U158" t="str">
            <v/>
          </cell>
          <cell r="V158" t="str">
            <v/>
          </cell>
          <cell r="W158" t="str">
            <v/>
          </cell>
          <cell r="X158" t="str">
            <v/>
          </cell>
          <cell r="Y158" t="str">
            <v>1300100102</v>
          </cell>
          <cell r="Z158" t="str">
            <v>-</v>
          </cell>
          <cell r="AA158" t="str">
            <v/>
          </cell>
          <cell r="AB158">
            <v>14.5</v>
          </cell>
          <cell r="AC158">
            <v>14.1</v>
          </cell>
          <cell r="AD158">
            <v>5</v>
          </cell>
          <cell r="AE158">
            <v>1022.25</v>
          </cell>
          <cell r="AF158" t="str">
            <v>cm³</v>
          </cell>
          <cell r="AG158">
            <v>0.33</v>
          </cell>
          <cell r="AH158" t="str">
            <v>kg</v>
          </cell>
          <cell r="AI158">
            <v>71.2</v>
          </cell>
          <cell r="AJ158" t="str">
            <v>9006919900</v>
          </cell>
          <cell r="AK158" t="str">
            <v/>
          </cell>
        </row>
        <row r="159">
          <cell r="A159">
            <v>1300100040</v>
          </cell>
          <cell r="B159" t="str">
            <v>自动化产品拍摄系统 ML40</v>
          </cell>
          <cell r="C159" t="str">
            <v/>
          </cell>
          <cell r="D159" t="str">
            <v>台</v>
          </cell>
          <cell r="E159" t="str">
            <v/>
          </cell>
          <cell r="F159" t="str">
            <v>自动化产品拍摄系统 ML40</v>
          </cell>
          <cell r="G159" t="str">
            <v>3DMakerpro</v>
          </cell>
          <cell r="H159" t="str">
            <v>三维扫描仪-CN</v>
          </cell>
          <cell r="I159" t="str">
            <v>否</v>
          </cell>
          <cell r="J159" t="str">
            <v>否</v>
          </cell>
          <cell r="K159" t="str">
            <v>深圳积木易搭科技技术有限公司</v>
          </cell>
          <cell r="L159" t="str">
            <v/>
          </cell>
          <cell r="M159" t="str">
            <v>2023-02-23 15:37:30</v>
          </cell>
          <cell r="N159" t="str">
            <v>2023-10-20 15:56:20</v>
          </cell>
          <cell r="O159" t="str">
            <v>单涛</v>
          </cell>
          <cell r="P159" t="str">
            <v>单涛</v>
          </cell>
          <cell r="Q159" t="str">
            <v/>
          </cell>
          <cell r="R159" t="str">
            <v>否</v>
          </cell>
          <cell r="S159" t="str">
            <v/>
          </cell>
          <cell r="T159" t="str">
            <v/>
          </cell>
          <cell r="U159" t="str">
            <v/>
          </cell>
          <cell r="V159" t="str">
            <v/>
          </cell>
          <cell r="W159" t="str">
            <v/>
          </cell>
          <cell r="X159" t="str">
            <v/>
          </cell>
          <cell r="Y159" t="str">
            <v>1300100040</v>
          </cell>
          <cell r="Z159" t="str">
            <v>ML40</v>
          </cell>
          <cell r="AA159" t="str">
            <v/>
          </cell>
          <cell r="AB159" t="str">
            <v/>
          </cell>
          <cell r="AC159" t="str">
            <v/>
          </cell>
          <cell r="AD159" t="str">
            <v/>
          </cell>
          <cell r="AE159" t="str">
            <v/>
          </cell>
          <cell r="AF159" t="str">
            <v/>
          </cell>
          <cell r="AG159" t="str">
            <v/>
          </cell>
          <cell r="AH159" t="str">
            <v/>
          </cell>
          <cell r="AI159" t="str">
            <v/>
          </cell>
          <cell r="AJ159" t="str">
            <v/>
          </cell>
          <cell r="AK159" t="str">
            <v/>
          </cell>
        </row>
        <row r="160">
          <cell r="A160">
            <v>1050200003</v>
          </cell>
          <cell r="B160" t="str">
            <v>加密狗</v>
          </cell>
          <cell r="C160" t="str">
            <v/>
          </cell>
          <cell r="D160" t="str">
            <v>个</v>
          </cell>
          <cell r="E160" t="str">
            <v/>
          </cell>
          <cell r="F160" t="str">
            <v>加密狗</v>
          </cell>
          <cell r="G160" t="str">
            <v/>
          </cell>
          <cell r="H160" t="str">
            <v>三维扫描仪备品备件</v>
          </cell>
          <cell r="I160" t="str">
            <v>否</v>
          </cell>
          <cell r="J160" t="str">
            <v>否</v>
          </cell>
          <cell r="K160" t="str">
            <v>深圳积木易搭科技技术有限公司</v>
          </cell>
          <cell r="L160" t="str">
            <v/>
          </cell>
          <cell r="M160" t="str">
            <v>2023-02-21 10:21:13</v>
          </cell>
          <cell r="N160" t="str">
            <v>2024-04-03 17:38:54</v>
          </cell>
          <cell r="O160" t="str">
            <v>单涛</v>
          </cell>
          <cell r="P160" t="str">
            <v>单涛</v>
          </cell>
          <cell r="Q160" t="str">
            <v/>
          </cell>
          <cell r="R160" t="str">
            <v>否</v>
          </cell>
          <cell r="S160" t="str">
            <v>[赛孚耐]超级狗加密件SuperDog，有丝印编号</v>
          </cell>
          <cell r="T160" t="str">
            <v/>
          </cell>
          <cell r="U160" t="str">
            <v/>
          </cell>
          <cell r="V160" t="str">
            <v/>
          </cell>
          <cell r="W160" t="str">
            <v/>
          </cell>
          <cell r="X160" t="str">
            <v/>
          </cell>
          <cell r="Y160" t="str">
            <v>1050200003</v>
          </cell>
          <cell r="Z160" t="str">
            <v>-</v>
          </cell>
          <cell r="AA160" t="str">
            <v/>
          </cell>
          <cell r="AB160" t="str">
            <v/>
          </cell>
          <cell r="AC160" t="str">
            <v/>
          </cell>
          <cell r="AD160" t="str">
            <v/>
          </cell>
          <cell r="AE160" t="str">
            <v/>
          </cell>
          <cell r="AF160" t="str">
            <v/>
          </cell>
          <cell r="AG160" t="str">
            <v/>
          </cell>
          <cell r="AH160" t="str">
            <v/>
          </cell>
          <cell r="AI160" t="str">
            <v/>
          </cell>
          <cell r="AJ160" t="str">
            <v/>
          </cell>
          <cell r="AK160" t="str">
            <v/>
          </cell>
        </row>
        <row r="161">
          <cell r="A161">
            <v>1300100013</v>
          </cell>
          <cell r="B161" t="str">
            <v>三维扫描系统MP80HR</v>
          </cell>
          <cell r="C161" t="str">
            <v/>
          </cell>
          <cell r="D161" t="str">
            <v>台</v>
          </cell>
          <cell r="E161" t="str">
            <v/>
          </cell>
          <cell r="F161" t="str">
            <v>三维扫描系统 MP80HR</v>
          </cell>
          <cell r="G161" t="str">
            <v>3DMakerpro</v>
          </cell>
          <cell r="H161" t="str">
            <v>三维扫描仪-CN</v>
          </cell>
          <cell r="I161" t="str">
            <v>否</v>
          </cell>
          <cell r="J161" t="str">
            <v>否</v>
          </cell>
          <cell r="K161" t="str">
            <v>深圳积木易搭科技技术有限公司</v>
          </cell>
          <cell r="L161" t="str">
            <v/>
          </cell>
          <cell r="M161" t="str">
            <v>2023-02-09 11:11:24</v>
          </cell>
          <cell r="N161" t="str">
            <v>2024-02-23 11:46:33</v>
          </cell>
          <cell r="O161" t="str">
            <v>单涛</v>
          </cell>
          <cell r="P161" t="str">
            <v>单涛</v>
          </cell>
          <cell r="Q161" t="str">
            <v/>
          </cell>
          <cell r="R161" t="str">
            <v>否</v>
          </cell>
          <cell r="S161" t="str">
            <v/>
          </cell>
          <cell r="T161" t="str">
            <v/>
          </cell>
          <cell r="U161" t="str">
            <v/>
          </cell>
          <cell r="V161" t="str">
            <v/>
          </cell>
          <cell r="W161" t="str">
            <v/>
          </cell>
          <cell r="X161" t="str">
            <v/>
          </cell>
          <cell r="Y161" t="str">
            <v>1300100013</v>
          </cell>
          <cell r="Z161" t="str">
            <v>MP80HR</v>
          </cell>
          <cell r="AA161" t="str">
            <v/>
          </cell>
          <cell r="AB161" t="str">
            <v/>
          </cell>
          <cell r="AC161" t="str">
            <v/>
          </cell>
          <cell r="AD161" t="str">
            <v/>
          </cell>
          <cell r="AE161" t="str">
            <v/>
          </cell>
          <cell r="AF161" t="str">
            <v/>
          </cell>
          <cell r="AG161" t="str">
            <v/>
          </cell>
          <cell r="AH161" t="str">
            <v/>
          </cell>
          <cell r="AI161" t="str">
            <v/>
          </cell>
          <cell r="AJ161" t="str">
            <v/>
          </cell>
          <cell r="AK161" t="str">
            <v/>
          </cell>
        </row>
        <row r="162">
          <cell r="A162">
            <v>1300100012</v>
          </cell>
          <cell r="B162" t="str">
            <v>三维扫描系统MP80Pro</v>
          </cell>
          <cell r="C162" t="str">
            <v/>
          </cell>
          <cell r="D162" t="str">
            <v>台</v>
          </cell>
          <cell r="E162" t="str">
            <v/>
          </cell>
          <cell r="F162" t="str">
            <v>三维扫描系统 MP80Pro</v>
          </cell>
          <cell r="G162" t="str">
            <v>3DMakerpro</v>
          </cell>
          <cell r="H162" t="str">
            <v>三维扫描仪-CN</v>
          </cell>
          <cell r="I162" t="str">
            <v>否</v>
          </cell>
          <cell r="J162" t="str">
            <v>否</v>
          </cell>
          <cell r="K162" t="str">
            <v>深圳积木易搭科技技术有限公司</v>
          </cell>
          <cell r="L162" t="str">
            <v/>
          </cell>
          <cell r="M162" t="str">
            <v>2023-02-09 11:10:01</v>
          </cell>
          <cell r="N162" t="str">
            <v>2024-09-02 16:49:52</v>
          </cell>
          <cell r="O162" t="str">
            <v>单涛</v>
          </cell>
          <cell r="P162" t="str">
            <v>单涛</v>
          </cell>
          <cell r="Q162" t="str">
            <v/>
          </cell>
          <cell r="R162" t="str">
            <v>否</v>
          </cell>
          <cell r="S162" t="str">
            <v/>
          </cell>
          <cell r="T162" t="str">
            <v/>
          </cell>
          <cell r="U162" t="str">
            <v/>
          </cell>
          <cell r="V162" t="str">
            <v/>
          </cell>
          <cell r="W162" t="str">
            <v/>
          </cell>
          <cell r="X162" t="str">
            <v/>
          </cell>
          <cell r="Y162" t="str">
            <v>1300100012</v>
          </cell>
          <cell r="Z162" t="str">
            <v>MP80Pro</v>
          </cell>
          <cell r="AA162" t="str">
            <v/>
          </cell>
          <cell r="AB162" t="str">
            <v/>
          </cell>
          <cell r="AC162" t="str">
            <v/>
          </cell>
          <cell r="AD162" t="str">
            <v/>
          </cell>
          <cell r="AE162" t="str">
            <v/>
          </cell>
          <cell r="AF162" t="str">
            <v/>
          </cell>
          <cell r="AG162" t="str">
            <v/>
          </cell>
          <cell r="AH162" t="str">
            <v/>
          </cell>
          <cell r="AI162" t="str">
            <v/>
          </cell>
          <cell r="AJ162" t="str">
            <v/>
          </cell>
          <cell r="AK162" t="str">
            <v/>
          </cell>
        </row>
        <row r="163">
          <cell r="A163">
            <v>1300100011</v>
          </cell>
          <cell r="B163" t="str">
            <v>自动化产品拍摄系统MP80</v>
          </cell>
          <cell r="C163" t="str">
            <v/>
          </cell>
          <cell r="D163" t="str">
            <v>台</v>
          </cell>
          <cell r="E163" t="str">
            <v/>
          </cell>
          <cell r="F163" t="str">
            <v>自动化产品拍摄系统 MP80</v>
          </cell>
          <cell r="G163" t="str">
            <v>3DMakerpro</v>
          </cell>
          <cell r="H163" t="str">
            <v>三维扫描仪-CN</v>
          </cell>
          <cell r="I163" t="str">
            <v>否</v>
          </cell>
          <cell r="J163" t="str">
            <v>否</v>
          </cell>
          <cell r="K163" t="str">
            <v>深圳积木易搭科技技术有限公司</v>
          </cell>
          <cell r="L163" t="str">
            <v/>
          </cell>
          <cell r="M163" t="str">
            <v>2023-02-09 11:08:06</v>
          </cell>
          <cell r="N163" t="str">
            <v>2024-09-02 16:50:05</v>
          </cell>
          <cell r="O163" t="str">
            <v>单涛</v>
          </cell>
          <cell r="P163" t="str">
            <v>单涛</v>
          </cell>
          <cell r="Q163" t="str">
            <v/>
          </cell>
          <cell r="R163" t="str">
            <v>否</v>
          </cell>
          <cell r="S163" t="str">
            <v/>
          </cell>
          <cell r="T163" t="str">
            <v/>
          </cell>
          <cell r="U163" t="str">
            <v/>
          </cell>
          <cell r="V163" t="str">
            <v/>
          </cell>
          <cell r="W163" t="str">
            <v/>
          </cell>
          <cell r="X163" t="str">
            <v/>
          </cell>
          <cell r="Y163" t="str">
            <v>1300100011</v>
          </cell>
          <cell r="Z163" t="str">
            <v>MP80</v>
          </cell>
          <cell r="AA163" t="str">
            <v/>
          </cell>
          <cell r="AB163" t="str">
            <v/>
          </cell>
          <cell r="AC163" t="str">
            <v/>
          </cell>
          <cell r="AD163" t="str">
            <v/>
          </cell>
          <cell r="AE163" t="str">
            <v/>
          </cell>
          <cell r="AF163" t="str">
            <v/>
          </cell>
          <cell r="AG163" t="str">
            <v/>
          </cell>
          <cell r="AH163" t="str">
            <v/>
          </cell>
          <cell r="AI163" t="str">
            <v/>
          </cell>
          <cell r="AJ163" t="str">
            <v/>
          </cell>
          <cell r="AK163" t="str">
            <v/>
          </cell>
        </row>
        <row r="164">
          <cell r="A164">
            <v>1300100020</v>
          </cell>
          <cell r="B164" t="str">
            <v>三维扫描仪CR-Scan Lizard豪华款(日文版)</v>
          </cell>
          <cell r="C164" t="str">
            <v>CR-Scan Lizard Luxury(JP)</v>
          </cell>
          <cell r="D164" t="str">
            <v>台</v>
          </cell>
          <cell r="E164" t="str">
            <v/>
          </cell>
          <cell r="F164" t="str">
            <v>低配豪华款成品(日版)</v>
          </cell>
          <cell r="G164" t="str">
            <v>Creality</v>
          </cell>
          <cell r="H164" t="str">
            <v>三维扫描仪-CRSL</v>
          </cell>
          <cell r="I164" t="str">
            <v>否</v>
          </cell>
          <cell r="J164" t="str">
            <v>否</v>
          </cell>
          <cell r="K164" t="str">
            <v>深圳积木易搭科技技术有限公司</v>
          </cell>
          <cell r="L164" t="str">
            <v/>
          </cell>
          <cell r="M164" t="str">
            <v>2023-02-09 11:03:25</v>
          </cell>
          <cell r="N164" t="str">
            <v>2025-01-14 13:53:10</v>
          </cell>
          <cell r="O164" t="str">
            <v>单涛</v>
          </cell>
          <cell r="P164" t="str">
            <v>单涛</v>
          </cell>
          <cell r="Q164" t="str">
            <v/>
          </cell>
          <cell r="R164" t="str">
            <v>否</v>
          </cell>
          <cell r="S164" t="str">
            <v/>
          </cell>
          <cell r="T164" t="str">
            <v/>
          </cell>
          <cell r="U164" t="str">
            <v/>
          </cell>
          <cell r="V164" t="str">
            <v/>
          </cell>
          <cell r="W164" t="str">
            <v/>
          </cell>
          <cell r="X164" t="str">
            <v/>
          </cell>
          <cell r="Y164" t="str">
            <v>1300100020</v>
          </cell>
          <cell r="Z164" t="str">
            <v>CRSL</v>
          </cell>
          <cell r="AA164" t="str">
            <v/>
          </cell>
          <cell r="AB164">
            <v>35</v>
          </cell>
          <cell r="AC164">
            <v>32</v>
          </cell>
          <cell r="AD164">
            <v>15</v>
          </cell>
          <cell r="AE164">
            <v>16800</v>
          </cell>
          <cell r="AF164" t="str">
            <v>cm³</v>
          </cell>
          <cell r="AG164">
            <v>3.3</v>
          </cell>
          <cell r="AH164" t="str">
            <v>kg</v>
          </cell>
          <cell r="AI164">
            <v>535.2</v>
          </cell>
          <cell r="AJ164" t="str">
            <v>9031499000</v>
          </cell>
          <cell r="AK164" t="str">
            <v/>
          </cell>
        </row>
        <row r="165">
          <cell r="A165">
            <v>1300100019</v>
          </cell>
          <cell r="B165" t="str">
            <v>三维扫描仪CR-Scan Lizard升级款(日文版)</v>
          </cell>
          <cell r="C165" t="str">
            <v>CR-Scan Lizard Premium(JP)</v>
          </cell>
          <cell r="D165" t="str">
            <v>台</v>
          </cell>
          <cell r="E165" t="str">
            <v/>
          </cell>
          <cell r="F165" t="str">
            <v>低配升级款成品(日版)</v>
          </cell>
          <cell r="G165" t="str">
            <v>Creality</v>
          </cell>
          <cell r="H165" t="str">
            <v>三维扫描仪-CRSL</v>
          </cell>
          <cell r="I165" t="str">
            <v>否</v>
          </cell>
          <cell r="J165" t="str">
            <v>否</v>
          </cell>
          <cell r="K165" t="str">
            <v>深圳积木易搭科技技术有限公司</v>
          </cell>
          <cell r="L165" t="str">
            <v/>
          </cell>
          <cell r="M165" t="str">
            <v>2023-02-09 11:00:51</v>
          </cell>
          <cell r="N165" t="str">
            <v>2025-01-14 13:53:17</v>
          </cell>
          <cell r="O165" t="str">
            <v>单涛</v>
          </cell>
          <cell r="P165" t="str">
            <v>单涛</v>
          </cell>
          <cell r="Q165" t="str">
            <v/>
          </cell>
          <cell r="R165" t="str">
            <v>否</v>
          </cell>
          <cell r="S165" t="str">
            <v/>
          </cell>
          <cell r="T165" t="str">
            <v/>
          </cell>
          <cell r="U165" t="str">
            <v/>
          </cell>
          <cell r="V165" t="str">
            <v/>
          </cell>
          <cell r="W165" t="str">
            <v/>
          </cell>
          <cell r="X165" t="str">
            <v/>
          </cell>
          <cell r="Y165" t="str">
            <v>1300100019</v>
          </cell>
          <cell r="Z165" t="str">
            <v>CRSL</v>
          </cell>
          <cell r="AA165" t="str">
            <v/>
          </cell>
          <cell r="AB165">
            <v>35</v>
          </cell>
          <cell r="AC165">
            <v>26</v>
          </cell>
          <cell r="AD165">
            <v>12</v>
          </cell>
          <cell r="AE165">
            <v>10920</v>
          </cell>
          <cell r="AF165" t="str">
            <v>cm³</v>
          </cell>
          <cell r="AG165">
            <v>2</v>
          </cell>
          <cell r="AH165" t="str">
            <v>kg</v>
          </cell>
          <cell r="AI165">
            <v>472.8</v>
          </cell>
          <cell r="AJ165" t="str">
            <v>9031499000</v>
          </cell>
          <cell r="AK165" t="str">
            <v>647.75USD</v>
          </cell>
        </row>
        <row r="166">
          <cell r="A166">
            <v>1300100018</v>
          </cell>
          <cell r="B166" t="str">
            <v>三维扫描仪CR-Scan Lizard基础款(日文版)</v>
          </cell>
          <cell r="C166" t="str">
            <v>CR-Scan Lizard Standard(JP)</v>
          </cell>
          <cell r="D166" t="str">
            <v>台</v>
          </cell>
          <cell r="E166" t="str">
            <v/>
          </cell>
          <cell r="F166" t="str">
            <v>低配基础款成品(日版)</v>
          </cell>
          <cell r="G166" t="str">
            <v>Creality</v>
          </cell>
          <cell r="H166" t="str">
            <v>三维扫描仪-CRSL</v>
          </cell>
          <cell r="I166" t="str">
            <v>否</v>
          </cell>
          <cell r="J166" t="str">
            <v>否</v>
          </cell>
          <cell r="K166" t="str">
            <v>深圳积木易搭科技技术有限公司</v>
          </cell>
          <cell r="L166" t="str">
            <v/>
          </cell>
          <cell r="M166" t="str">
            <v>2023-02-09 10:58:37</v>
          </cell>
          <cell r="N166" t="str">
            <v>2025-01-14 13:53:26</v>
          </cell>
          <cell r="O166" t="str">
            <v>单涛</v>
          </cell>
          <cell r="P166" t="str">
            <v>单涛</v>
          </cell>
          <cell r="Q166" t="str">
            <v/>
          </cell>
          <cell r="R166" t="str">
            <v>否</v>
          </cell>
          <cell r="S166" t="str">
            <v/>
          </cell>
          <cell r="T166" t="str">
            <v/>
          </cell>
          <cell r="U166" t="str">
            <v/>
          </cell>
          <cell r="V166" t="str">
            <v/>
          </cell>
          <cell r="W166" t="str">
            <v/>
          </cell>
          <cell r="X166" t="str">
            <v/>
          </cell>
          <cell r="Y166" t="str">
            <v>1300100018</v>
          </cell>
          <cell r="Z166" t="str">
            <v>CRSL</v>
          </cell>
          <cell r="AA166" t="str">
            <v/>
          </cell>
          <cell r="AB166">
            <v>23</v>
          </cell>
          <cell r="AC166">
            <v>16</v>
          </cell>
          <cell r="AD166">
            <v>14</v>
          </cell>
          <cell r="AE166">
            <v>5152</v>
          </cell>
          <cell r="AF166" t="str">
            <v>cm³</v>
          </cell>
          <cell r="AG166">
            <v>1.25</v>
          </cell>
          <cell r="AH166" t="str">
            <v>kg</v>
          </cell>
          <cell r="AI166">
            <v>409.6</v>
          </cell>
          <cell r="AJ166" t="str">
            <v>9031499000</v>
          </cell>
          <cell r="AK166" t="str">
            <v>558.46USD</v>
          </cell>
        </row>
        <row r="167">
          <cell r="A167">
            <v>1300100029</v>
          </cell>
          <cell r="B167" t="str">
            <v>三维扫描仪Whale豪华版(日版)</v>
          </cell>
          <cell r="C167" t="str">
            <v>3D Scanner Whale  Luxury Package(JP)</v>
          </cell>
          <cell r="D167" t="str">
            <v>台</v>
          </cell>
          <cell r="E167" t="str">
            <v/>
          </cell>
          <cell r="F167" t="str">
            <v>whale豪华款(日款)</v>
          </cell>
          <cell r="G167" t="str">
            <v>3DMakerpro</v>
          </cell>
          <cell r="H167" t="str">
            <v>三维扫描仪-JMSW</v>
          </cell>
          <cell r="I167" t="str">
            <v>否</v>
          </cell>
          <cell r="J167" t="str">
            <v>否</v>
          </cell>
          <cell r="K167" t="str">
            <v>深圳积木易搭科技技术有限公司</v>
          </cell>
          <cell r="L167" t="str">
            <v/>
          </cell>
          <cell r="M167" t="str">
            <v>2023-02-09 10:54:30</v>
          </cell>
          <cell r="N167" t="str">
            <v>2025-01-14 13:53:35</v>
          </cell>
          <cell r="O167" t="str">
            <v>单涛</v>
          </cell>
          <cell r="P167" t="str">
            <v>单涛</v>
          </cell>
          <cell r="Q167" t="str">
            <v/>
          </cell>
          <cell r="R167" t="str">
            <v>否</v>
          </cell>
          <cell r="S167" t="str">
            <v/>
          </cell>
          <cell r="T167" t="str">
            <v/>
          </cell>
          <cell r="U167" t="str">
            <v/>
          </cell>
          <cell r="V167" t="str">
            <v/>
          </cell>
          <cell r="W167" t="str">
            <v/>
          </cell>
          <cell r="X167" t="str">
            <v/>
          </cell>
          <cell r="Y167" t="str">
            <v>1300100029</v>
          </cell>
          <cell r="Z167" t="str">
            <v>JMSW</v>
          </cell>
          <cell r="AA167" t="str">
            <v/>
          </cell>
          <cell r="AB167">
            <v>36</v>
          </cell>
          <cell r="AC167">
            <v>33</v>
          </cell>
          <cell r="AD167">
            <v>27</v>
          </cell>
          <cell r="AE167">
            <v>32076</v>
          </cell>
          <cell r="AF167" t="str">
            <v>cm³</v>
          </cell>
          <cell r="AG167">
            <v>6.5</v>
          </cell>
          <cell r="AH167" t="str">
            <v>kg</v>
          </cell>
          <cell r="AI167">
            <v>6319.2</v>
          </cell>
          <cell r="AJ167" t="str">
            <v>9031499000</v>
          </cell>
          <cell r="AK167" t="str">
            <v>650USD</v>
          </cell>
        </row>
        <row r="168">
          <cell r="A168">
            <v>1300100028</v>
          </cell>
          <cell r="B168" t="str">
            <v>三维扫描仪Whale升级版(日版)</v>
          </cell>
          <cell r="C168" t="str">
            <v>3D Scanner Whale  Premium Package(JP)</v>
          </cell>
          <cell r="D168" t="str">
            <v>台</v>
          </cell>
          <cell r="E168" t="str">
            <v/>
          </cell>
          <cell r="F168" t="str">
            <v>whale升级款(日款)</v>
          </cell>
          <cell r="G168" t="str">
            <v>3DMakerpro</v>
          </cell>
          <cell r="H168" t="str">
            <v>三维扫描仪-JMSW</v>
          </cell>
          <cell r="I168" t="str">
            <v>否</v>
          </cell>
          <cell r="J168" t="str">
            <v>否</v>
          </cell>
          <cell r="K168" t="str">
            <v>深圳积木易搭科技技术有限公司</v>
          </cell>
          <cell r="L168" t="str">
            <v/>
          </cell>
          <cell r="M168" t="str">
            <v>2023-02-09 10:52:27</v>
          </cell>
          <cell r="N168" t="str">
            <v>2025-01-14 13:53:43</v>
          </cell>
          <cell r="O168" t="str">
            <v>单涛</v>
          </cell>
          <cell r="P168" t="str">
            <v>单涛</v>
          </cell>
          <cell r="Q168" t="str">
            <v/>
          </cell>
          <cell r="R168" t="str">
            <v>否</v>
          </cell>
          <cell r="S168" t="str">
            <v/>
          </cell>
          <cell r="T168" t="str">
            <v/>
          </cell>
          <cell r="U168" t="str">
            <v/>
          </cell>
          <cell r="V168" t="str">
            <v/>
          </cell>
          <cell r="W168" t="str">
            <v/>
          </cell>
          <cell r="X168" t="str">
            <v/>
          </cell>
          <cell r="Y168" t="str">
            <v>1300100028</v>
          </cell>
          <cell r="Z168" t="str">
            <v>JMSW</v>
          </cell>
          <cell r="AA168" t="str">
            <v/>
          </cell>
          <cell r="AB168">
            <v>36</v>
          </cell>
          <cell r="AC168">
            <v>33</v>
          </cell>
          <cell r="AD168">
            <v>27</v>
          </cell>
          <cell r="AE168">
            <v>32076</v>
          </cell>
          <cell r="AF168" t="str">
            <v>cm³</v>
          </cell>
          <cell r="AG168">
            <v>5.4</v>
          </cell>
          <cell r="AH168" t="str">
            <v>kg</v>
          </cell>
          <cell r="AI168">
            <v>5999.2</v>
          </cell>
          <cell r="AJ168" t="str">
            <v>9031499000</v>
          </cell>
          <cell r="AK168" t="str">
            <v>600USD</v>
          </cell>
        </row>
        <row r="169">
          <cell r="A169">
            <v>1300100032</v>
          </cell>
          <cell r="B169" t="str">
            <v>三维扫描仪Whale基础版(日版)</v>
          </cell>
          <cell r="C169" t="str">
            <v>3D Scanner Whale  Standard Package(JP)</v>
          </cell>
          <cell r="D169" t="str">
            <v>台</v>
          </cell>
          <cell r="E169" t="str">
            <v/>
          </cell>
          <cell r="F169" t="str">
            <v>whale基础款(日款)</v>
          </cell>
          <cell r="G169" t="str">
            <v>3DMakerpro</v>
          </cell>
          <cell r="H169" t="str">
            <v>三维扫描仪-JMSW</v>
          </cell>
          <cell r="I169" t="str">
            <v>否</v>
          </cell>
          <cell r="J169" t="str">
            <v>否</v>
          </cell>
          <cell r="K169" t="str">
            <v>深圳积木易搭科技技术有限公司</v>
          </cell>
          <cell r="L169" t="str">
            <v/>
          </cell>
          <cell r="M169" t="str">
            <v>2023-02-09 10:43:06</v>
          </cell>
          <cell r="N169" t="str">
            <v>2025-01-14 13:53:51</v>
          </cell>
          <cell r="O169" t="str">
            <v>单涛</v>
          </cell>
          <cell r="P169" t="str">
            <v>单涛</v>
          </cell>
          <cell r="Q169" t="str">
            <v/>
          </cell>
          <cell r="R169" t="str">
            <v>否</v>
          </cell>
          <cell r="S169" t="str">
            <v/>
          </cell>
          <cell r="T169" t="str">
            <v/>
          </cell>
          <cell r="U169" t="str">
            <v/>
          </cell>
          <cell r="V169" t="str">
            <v/>
          </cell>
          <cell r="W169" t="str">
            <v/>
          </cell>
          <cell r="X169" t="str">
            <v/>
          </cell>
          <cell r="Y169" t="str">
            <v>1300100032</v>
          </cell>
          <cell r="Z169" t="str">
            <v>JMSW</v>
          </cell>
          <cell r="AA169" t="str">
            <v/>
          </cell>
          <cell r="AB169">
            <v>36</v>
          </cell>
          <cell r="AC169">
            <v>33</v>
          </cell>
          <cell r="AD169">
            <v>27</v>
          </cell>
          <cell r="AE169">
            <v>32076</v>
          </cell>
          <cell r="AF169" t="str">
            <v>cm³</v>
          </cell>
          <cell r="AG169">
            <v>4.8</v>
          </cell>
          <cell r="AH169" t="str">
            <v>kg</v>
          </cell>
          <cell r="AI169">
            <v>5759.2</v>
          </cell>
          <cell r="AJ169" t="str">
            <v>9031499000</v>
          </cell>
          <cell r="AK169" t="str">
            <v/>
          </cell>
        </row>
        <row r="170">
          <cell r="A170">
            <v>1300100025</v>
          </cell>
          <cell r="B170" t="str">
            <v>三维扫描仪Magic Swift Plus黑白款豪华版(日版)</v>
          </cell>
          <cell r="C170" t="str">
            <v>3D Scanner Magic Swift Plus  Monochrome Luxury(JP)</v>
          </cell>
          <cell r="D170" t="str">
            <v>台</v>
          </cell>
          <cell r="E170" t="str">
            <v/>
          </cell>
          <cell r="F170" t="str">
            <v>MagicSwift Plus黑白豪华款(日版)</v>
          </cell>
          <cell r="G170" t="str">
            <v>3DMakerpro</v>
          </cell>
          <cell r="H170" t="str">
            <v>三维扫描仪-JMSM</v>
          </cell>
          <cell r="I170" t="str">
            <v>否</v>
          </cell>
          <cell r="J170" t="str">
            <v>否</v>
          </cell>
          <cell r="K170" t="str">
            <v>深圳积木易搭科技技术有限公司</v>
          </cell>
          <cell r="L170" t="str">
            <v/>
          </cell>
          <cell r="M170" t="str">
            <v>2023-02-09 10:48:05</v>
          </cell>
          <cell r="N170" t="str">
            <v>2025-01-14 13:53:59</v>
          </cell>
          <cell r="O170" t="str">
            <v>单涛</v>
          </cell>
          <cell r="P170" t="str">
            <v>单涛</v>
          </cell>
          <cell r="Q170" t="str">
            <v/>
          </cell>
          <cell r="R170" t="str">
            <v>否</v>
          </cell>
          <cell r="S170" t="str">
            <v/>
          </cell>
          <cell r="T170" t="str">
            <v/>
          </cell>
          <cell r="U170" t="str">
            <v/>
          </cell>
          <cell r="V170" t="str">
            <v/>
          </cell>
          <cell r="W170" t="str">
            <v/>
          </cell>
          <cell r="X170" t="str">
            <v/>
          </cell>
          <cell r="Y170" t="str">
            <v>1300100025</v>
          </cell>
          <cell r="Z170" t="str">
            <v>JMSM</v>
          </cell>
          <cell r="AA170" t="str">
            <v/>
          </cell>
          <cell r="AB170">
            <v>49</v>
          </cell>
          <cell r="AC170">
            <v>32</v>
          </cell>
          <cell r="AD170">
            <v>15</v>
          </cell>
          <cell r="AE170">
            <v>23520</v>
          </cell>
          <cell r="AF170" t="str">
            <v>cm³</v>
          </cell>
          <cell r="AG170">
            <v>4.4</v>
          </cell>
          <cell r="AH170" t="str">
            <v>kg</v>
          </cell>
          <cell r="AI170">
            <v>798.4</v>
          </cell>
          <cell r="AJ170" t="str">
            <v>9031499000</v>
          </cell>
          <cell r="AK170" t="str">
            <v>867.40USD</v>
          </cell>
        </row>
        <row r="171">
          <cell r="A171">
            <v>1300100024</v>
          </cell>
          <cell r="B171" t="str">
            <v>三维扫描仪Magic Swift Plus黑白款升级版(日版)</v>
          </cell>
          <cell r="C171" t="str">
            <v>3D Scanner Magic Swift Plus  Monochrome Premium(JP)</v>
          </cell>
          <cell r="D171" t="str">
            <v>台</v>
          </cell>
          <cell r="E171" t="str">
            <v/>
          </cell>
          <cell r="F171" t="str">
            <v>MagicSwift Plus黑白升级款(日版)</v>
          </cell>
          <cell r="G171" t="str">
            <v>3DMakerpro</v>
          </cell>
          <cell r="H171" t="str">
            <v>三维扫描仪-JMSM</v>
          </cell>
          <cell r="I171" t="str">
            <v>否</v>
          </cell>
          <cell r="J171" t="str">
            <v>否</v>
          </cell>
          <cell r="K171" t="str">
            <v>深圳积木易搭科技技术有限公司</v>
          </cell>
          <cell r="L171" t="str">
            <v/>
          </cell>
          <cell r="M171" t="str">
            <v>2023-02-09 10:45:44</v>
          </cell>
          <cell r="N171" t="str">
            <v>2025-01-14 13:54:07</v>
          </cell>
          <cell r="O171" t="str">
            <v>单涛</v>
          </cell>
          <cell r="P171" t="str">
            <v>单涛</v>
          </cell>
          <cell r="Q171" t="str">
            <v/>
          </cell>
          <cell r="R171" t="str">
            <v>否</v>
          </cell>
          <cell r="S171" t="str">
            <v/>
          </cell>
          <cell r="T171" t="str">
            <v/>
          </cell>
          <cell r="U171" t="str">
            <v/>
          </cell>
          <cell r="V171" t="str">
            <v/>
          </cell>
          <cell r="W171" t="str">
            <v/>
          </cell>
          <cell r="X171" t="str">
            <v/>
          </cell>
          <cell r="Y171" t="str">
            <v>1300100024</v>
          </cell>
          <cell r="Z171" t="str">
            <v>JMSM</v>
          </cell>
          <cell r="AA171" t="str">
            <v/>
          </cell>
          <cell r="AB171">
            <v>49</v>
          </cell>
          <cell r="AC171">
            <v>32</v>
          </cell>
          <cell r="AD171">
            <v>11</v>
          </cell>
          <cell r="AE171">
            <v>17248</v>
          </cell>
          <cell r="AF171" t="str">
            <v>cm³</v>
          </cell>
          <cell r="AG171">
            <v>3.2</v>
          </cell>
          <cell r="AH171" t="str">
            <v>kg</v>
          </cell>
          <cell r="AI171">
            <v>716</v>
          </cell>
          <cell r="AJ171" t="str">
            <v>9031499000</v>
          </cell>
          <cell r="AK171" t="str">
            <v/>
          </cell>
        </row>
        <row r="172">
          <cell r="A172">
            <v>1300100027</v>
          </cell>
          <cell r="B172" t="str">
            <v>三维扫描仪Magic Swift Plus彩色款豪华版(日版)</v>
          </cell>
          <cell r="C172" t="str">
            <v>3D Scanner Magic Swift Plus Color Luxury(JP)</v>
          </cell>
          <cell r="D172" t="str">
            <v>台</v>
          </cell>
          <cell r="E172" t="str">
            <v/>
          </cell>
          <cell r="F172" t="str">
            <v>MagicSwift Plus彩色豪华款(日版)</v>
          </cell>
          <cell r="G172" t="str">
            <v>3DMakerpro</v>
          </cell>
          <cell r="H172" t="str">
            <v>三维扫描仪-JMSC</v>
          </cell>
          <cell r="I172" t="str">
            <v>否</v>
          </cell>
          <cell r="J172" t="str">
            <v>否</v>
          </cell>
          <cell r="K172" t="str">
            <v>深圳积木易搭科技技术有限公司</v>
          </cell>
          <cell r="L172" t="str">
            <v/>
          </cell>
          <cell r="M172" t="str">
            <v>2023-02-08 18:28:25</v>
          </cell>
          <cell r="N172" t="str">
            <v>2025-01-14 13:54:16</v>
          </cell>
          <cell r="O172" t="str">
            <v>单涛</v>
          </cell>
          <cell r="P172" t="str">
            <v>单涛</v>
          </cell>
          <cell r="Q172" t="str">
            <v/>
          </cell>
          <cell r="R172" t="str">
            <v>否</v>
          </cell>
          <cell r="S172" t="str">
            <v/>
          </cell>
          <cell r="T172" t="str">
            <v/>
          </cell>
          <cell r="U172" t="str">
            <v/>
          </cell>
          <cell r="V172" t="str">
            <v/>
          </cell>
          <cell r="W172" t="str">
            <v/>
          </cell>
          <cell r="X172" t="str">
            <v/>
          </cell>
          <cell r="Y172" t="str">
            <v>1300100027</v>
          </cell>
          <cell r="Z172" t="str">
            <v>JMSC</v>
          </cell>
          <cell r="AA172" t="str">
            <v>1300100027</v>
          </cell>
          <cell r="AB172">
            <v>49</v>
          </cell>
          <cell r="AC172">
            <v>32</v>
          </cell>
          <cell r="AD172">
            <v>15</v>
          </cell>
          <cell r="AE172">
            <v>23520</v>
          </cell>
          <cell r="AF172" t="str">
            <v>cm³</v>
          </cell>
          <cell r="AG172">
            <v>4.4</v>
          </cell>
          <cell r="AH172" t="str">
            <v>kg</v>
          </cell>
          <cell r="AI172">
            <v>798.4</v>
          </cell>
          <cell r="AJ172" t="str">
            <v>9031499000</v>
          </cell>
          <cell r="AK172" t="str">
            <v>867.40USD</v>
          </cell>
        </row>
        <row r="173">
          <cell r="A173">
            <v>1300100061</v>
          </cell>
          <cell r="B173" t="str">
            <v>三维扫描仪 Magic Swift Plus彩色升级(2023版)/日版</v>
          </cell>
          <cell r="C173" t="str">
            <v>3D Scanner Magic Swift Plus Color Premium(JP)</v>
          </cell>
          <cell r="D173" t="str">
            <v>台</v>
          </cell>
          <cell r="E173" t="str">
            <v/>
          </cell>
          <cell r="F173" t="str">
            <v>三维扫描仪 Magic Swift Plus彩色升级（2023版）/日版</v>
          </cell>
          <cell r="G173" t="str">
            <v>3DMakerpro</v>
          </cell>
          <cell r="H173" t="str">
            <v>三维扫描仪-JMSC</v>
          </cell>
          <cell r="I173" t="str">
            <v>否</v>
          </cell>
          <cell r="J173" t="str">
            <v>否</v>
          </cell>
          <cell r="K173" t="str">
            <v>深圳积木易搭科技技术有限公司</v>
          </cell>
          <cell r="L173" t="str">
            <v/>
          </cell>
          <cell r="M173" t="str">
            <v>2023-07-17 14:04:01</v>
          </cell>
          <cell r="N173" t="str">
            <v>2025-01-14 13:54:24</v>
          </cell>
          <cell r="O173" t="str">
            <v>单涛</v>
          </cell>
          <cell r="P173" t="str">
            <v>单涛</v>
          </cell>
          <cell r="Q173" t="str">
            <v/>
          </cell>
          <cell r="R173" t="str">
            <v>否</v>
          </cell>
          <cell r="S173" t="str">
            <v/>
          </cell>
          <cell r="T173" t="str">
            <v/>
          </cell>
          <cell r="U173" t="str">
            <v/>
          </cell>
          <cell r="V173" t="str">
            <v/>
          </cell>
          <cell r="W173" t="str">
            <v/>
          </cell>
          <cell r="X173" t="str">
            <v/>
          </cell>
          <cell r="Y173" t="str">
            <v>1300100061</v>
          </cell>
          <cell r="Z173" t="str">
            <v>JMSC</v>
          </cell>
          <cell r="AA173" t="str">
            <v/>
          </cell>
          <cell r="AB173">
            <v>49</v>
          </cell>
          <cell r="AC173">
            <v>32</v>
          </cell>
          <cell r="AD173">
            <v>11</v>
          </cell>
          <cell r="AE173">
            <v>17248</v>
          </cell>
          <cell r="AF173" t="str">
            <v>cm³</v>
          </cell>
          <cell r="AG173">
            <v>3.2</v>
          </cell>
          <cell r="AH173" t="str">
            <v>kg</v>
          </cell>
          <cell r="AI173">
            <v>716</v>
          </cell>
          <cell r="AJ173" t="str">
            <v>9031499000</v>
          </cell>
          <cell r="AK173" t="str">
            <v>4PCS/CTN,13.8KGS,50*46*33cm</v>
          </cell>
        </row>
        <row r="174">
          <cell r="A174">
            <v>1300100026</v>
          </cell>
          <cell r="B174" t="str">
            <v>三维扫描仪Magic Swift Plus彩色款升级版(日版)</v>
          </cell>
          <cell r="C174" t="str">
            <v>3D Scanner Magic Swift Plus Color Premium(JP)</v>
          </cell>
          <cell r="D174" t="str">
            <v>台</v>
          </cell>
          <cell r="E174" t="str">
            <v/>
          </cell>
          <cell r="F174" t="str">
            <v>MagicSwift Plus彩色升级款(日版)</v>
          </cell>
          <cell r="G174" t="str">
            <v>3DMakerpro</v>
          </cell>
          <cell r="H174" t="str">
            <v>三维扫描仪-JMSC</v>
          </cell>
          <cell r="I174" t="str">
            <v>否</v>
          </cell>
          <cell r="J174" t="str">
            <v>否</v>
          </cell>
          <cell r="K174" t="str">
            <v>深圳积木易搭科技技术有限公司</v>
          </cell>
          <cell r="L174" t="str">
            <v/>
          </cell>
          <cell r="M174" t="str">
            <v>2023-02-08 18:22:53</v>
          </cell>
          <cell r="N174" t="str">
            <v>2025-01-14 13:54:40</v>
          </cell>
          <cell r="O174" t="str">
            <v>单涛</v>
          </cell>
          <cell r="P174" t="str">
            <v>单涛</v>
          </cell>
          <cell r="Q174" t="str">
            <v/>
          </cell>
          <cell r="R174" t="str">
            <v>否</v>
          </cell>
          <cell r="S174" t="str">
            <v/>
          </cell>
          <cell r="T174" t="str">
            <v/>
          </cell>
          <cell r="U174" t="str">
            <v/>
          </cell>
          <cell r="V174" t="str">
            <v/>
          </cell>
          <cell r="W174" t="str">
            <v/>
          </cell>
          <cell r="X174" t="str">
            <v/>
          </cell>
          <cell r="Y174" t="str">
            <v>1300100026</v>
          </cell>
          <cell r="Z174" t="str">
            <v>JMSC</v>
          </cell>
          <cell r="AA174" t="str">
            <v/>
          </cell>
          <cell r="AB174">
            <v>49</v>
          </cell>
          <cell r="AC174">
            <v>32</v>
          </cell>
          <cell r="AD174">
            <v>11</v>
          </cell>
          <cell r="AE174">
            <v>17248</v>
          </cell>
          <cell r="AF174" t="str">
            <v>cm³</v>
          </cell>
          <cell r="AG174">
            <v>3.2</v>
          </cell>
          <cell r="AH174" t="str">
            <v>kg</v>
          </cell>
          <cell r="AI174">
            <v>716</v>
          </cell>
          <cell r="AJ174" t="str">
            <v>9031499000</v>
          </cell>
          <cell r="AK174" t="str">
            <v/>
          </cell>
        </row>
        <row r="175">
          <cell r="A175">
            <v>1300100002</v>
          </cell>
          <cell r="B175" t="str">
            <v>三维扫描仪Magic Swift豪华版</v>
          </cell>
          <cell r="C175" t="str">
            <v>3D Scanner  Magic Swift</v>
          </cell>
          <cell r="D175" t="str">
            <v>台</v>
          </cell>
          <cell r="E175" t="str">
            <v/>
          </cell>
          <cell r="F175" t="str">
            <v/>
          </cell>
          <cell r="G175" t="str">
            <v>积木易搭</v>
          </cell>
          <cell r="H175" t="str">
            <v>三维扫描仪-CN</v>
          </cell>
          <cell r="I175" t="str">
            <v>否</v>
          </cell>
          <cell r="J175" t="str">
            <v>否</v>
          </cell>
          <cell r="K175" t="str">
            <v>深圳积木易搭科技技术有限公司</v>
          </cell>
          <cell r="L175" t="str">
            <v/>
          </cell>
          <cell r="M175" t="str">
            <v>2023-02-08 17:59:43</v>
          </cell>
          <cell r="N175" t="str">
            <v>2025-01-14 13:54:50</v>
          </cell>
          <cell r="O175" t="str">
            <v>单涛</v>
          </cell>
          <cell r="P175" t="str">
            <v>单涛</v>
          </cell>
          <cell r="Q175" t="str">
            <v/>
          </cell>
          <cell r="R175" t="str">
            <v>否</v>
          </cell>
          <cell r="S175" t="str">
            <v/>
          </cell>
          <cell r="T175" t="str">
            <v/>
          </cell>
          <cell r="U175" t="str">
            <v/>
          </cell>
          <cell r="V175" t="str">
            <v/>
          </cell>
          <cell r="W175" t="str">
            <v/>
          </cell>
          <cell r="X175" t="str">
            <v/>
          </cell>
          <cell r="Y175" t="str">
            <v>1300100002</v>
          </cell>
          <cell r="Z175" t="str">
            <v>PHCSCA02</v>
          </cell>
          <cell r="AA175" t="str">
            <v/>
          </cell>
          <cell r="AB175" t="str">
            <v/>
          </cell>
          <cell r="AC175" t="str">
            <v/>
          </cell>
          <cell r="AD175" t="str">
            <v/>
          </cell>
          <cell r="AE175" t="str">
            <v/>
          </cell>
          <cell r="AF175" t="str">
            <v/>
          </cell>
          <cell r="AG175" t="str">
            <v/>
          </cell>
          <cell r="AH175" t="str">
            <v/>
          </cell>
          <cell r="AI175" t="str">
            <v/>
          </cell>
          <cell r="AJ175" t="str">
            <v>9031499000</v>
          </cell>
          <cell r="AK175" t="str">
            <v/>
          </cell>
        </row>
        <row r="176">
          <cell r="A176">
            <v>1300100007</v>
          </cell>
          <cell r="B176" t="str">
            <v>三维扫描仪Magic Swift基础版</v>
          </cell>
          <cell r="C176" t="str">
            <v>3D Scanner  Magic Swift</v>
          </cell>
          <cell r="D176" t="str">
            <v>台</v>
          </cell>
          <cell r="E176" t="str">
            <v/>
          </cell>
          <cell r="F176" t="str">
            <v/>
          </cell>
          <cell r="G176" t="str">
            <v>积木易搭</v>
          </cell>
          <cell r="H176" t="str">
            <v>三维扫描仪-CN</v>
          </cell>
          <cell r="I176" t="str">
            <v>否</v>
          </cell>
          <cell r="J176" t="str">
            <v>否</v>
          </cell>
          <cell r="K176" t="str">
            <v>深圳积木易搭科技技术有限公司</v>
          </cell>
          <cell r="L176" t="str">
            <v/>
          </cell>
          <cell r="M176" t="str">
            <v>2023-02-08 17:53:52</v>
          </cell>
          <cell r="N176" t="str">
            <v>2025-01-14 13:54:59</v>
          </cell>
          <cell r="O176" t="str">
            <v>单涛</v>
          </cell>
          <cell r="P176" t="str">
            <v>单涛</v>
          </cell>
          <cell r="Q176" t="str">
            <v/>
          </cell>
          <cell r="R176" t="str">
            <v>否</v>
          </cell>
          <cell r="S176" t="str">
            <v/>
          </cell>
          <cell r="T176" t="str">
            <v/>
          </cell>
          <cell r="U176" t="str">
            <v/>
          </cell>
          <cell r="V176" t="str">
            <v/>
          </cell>
          <cell r="W176" t="str">
            <v/>
          </cell>
          <cell r="X176" t="str">
            <v/>
          </cell>
          <cell r="Y176" t="str">
            <v>1300100007</v>
          </cell>
          <cell r="Z176" t="str">
            <v>PHCSCA02</v>
          </cell>
          <cell r="AA176" t="str">
            <v/>
          </cell>
          <cell r="AB176" t="str">
            <v/>
          </cell>
          <cell r="AC176" t="str">
            <v/>
          </cell>
          <cell r="AD176" t="str">
            <v/>
          </cell>
          <cell r="AE176" t="str">
            <v/>
          </cell>
          <cell r="AF176" t="str">
            <v/>
          </cell>
          <cell r="AG176" t="str">
            <v/>
          </cell>
          <cell r="AH176" t="str">
            <v/>
          </cell>
          <cell r="AI176" t="str">
            <v/>
          </cell>
          <cell r="AJ176" t="str">
            <v>9031499000</v>
          </cell>
          <cell r="AK176" t="str">
            <v/>
          </cell>
        </row>
        <row r="177">
          <cell r="A177">
            <v>1300100016</v>
          </cell>
          <cell r="B177" t="str">
            <v>三维扫描仪Whale豪华版</v>
          </cell>
          <cell r="C177" t="str">
            <v>3D Scanner Whale  Luxury Package</v>
          </cell>
          <cell r="D177" t="str">
            <v>台</v>
          </cell>
          <cell r="E177" t="str">
            <v>6975925240067</v>
          </cell>
          <cell r="F177" t="str">
            <v>whale豪华款</v>
          </cell>
          <cell r="G177" t="str">
            <v>3DMakerpro</v>
          </cell>
          <cell r="H177" t="str">
            <v>三维扫描仪-JMSW</v>
          </cell>
          <cell r="I177" t="str">
            <v>否</v>
          </cell>
          <cell r="J177" t="str">
            <v>否</v>
          </cell>
          <cell r="K177" t="str">
            <v>深圳积木易搭科技技术有限公司</v>
          </cell>
          <cell r="L177" t="str">
            <v/>
          </cell>
          <cell r="M177" t="str">
            <v>2023-02-08 17:29:39</v>
          </cell>
          <cell r="N177" t="str">
            <v>2025-01-14 13:55:07</v>
          </cell>
          <cell r="O177" t="str">
            <v>单涛</v>
          </cell>
          <cell r="P177" t="str">
            <v>单涛</v>
          </cell>
          <cell r="Q177" t="str">
            <v/>
          </cell>
          <cell r="R177" t="str">
            <v>否</v>
          </cell>
          <cell r="S177" t="str">
            <v/>
          </cell>
          <cell r="T177" t="str">
            <v/>
          </cell>
          <cell r="U177" t="str">
            <v/>
          </cell>
          <cell r="V177" t="str">
            <v/>
          </cell>
          <cell r="W177" t="str">
            <v/>
          </cell>
          <cell r="X177" t="str">
            <v/>
          </cell>
          <cell r="Y177" t="str">
            <v>1300100016</v>
          </cell>
          <cell r="Z177" t="str">
            <v>JMSW</v>
          </cell>
          <cell r="AA177" t="str">
            <v>6975925240067</v>
          </cell>
          <cell r="AB177">
            <v>36</v>
          </cell>
          <cell r="AC177">
            <v>33</v>
          </cell>
          <cell r="AD177">
            <v>27</v>
          </cell>
          <cell r="AE177">
            <v>32076</v>
          </cell>
          <cell r="AF177" t="str">
            <v>cm³</v>
          </cell>
          <cell r="AG177">
            <v>6.5</v>
          </cell>
          <cell r="AH177" t="str">
            <v>kg</v>
          </cell>
          <cell r="AI177">
            <v>6319.2</v>
          </cell>
          <cell r="AJ177" t="str">
            <v>9031499000</v>
          </cell>
          <cell r="AK177" t="str">
            <v>出卢森堡申报单价：6750.40USD</v>
          </cell>
        </row>
        <row r="178">
          <cell r="A178">
            <v>1300100015</v>
          </cell>
          <cell r="B178" t="str">
            <v>三维扫描仪Whale升级版</v>
          </cell>
          <cell r="C178" t="str">
            <v>3D Scanner Whale  Premium Package</v>
          </cell>
          <cell r="D178" t="str">
            <v>台</v>
          </cell>
          <cell r="E178" t="str">
            <v>6975925240050</v>
          </cell>
          <cell r="F178" t="str">
            <v>whale升级款</v>
          </cell>
          <cell r="G178" t="str">
            <v>3DMakerpro</v>
          </cell>
          <cell r="H178" t="str">
            <v>三维扫描仪-JMSW</v>
          </cell>
          <cell r="I178" t="str">
            <v>否</v>
          </cell>
          <cell r="J178" t="str">
            <v>否</v>
          </cell>
          <cell r="K178" t="str">
            <v>深圳积木易搭科技技术有限公司</v>
          </cell>
          <cell r="L178" t="str">
            <v/>
          </cell>
          <cell r="M178" t="str">
            <v>2023-02-08 17:26:53</v>
          </cell>
          <cell r="N178" t="str">
            <v>2025-01-14 13:55:17</v>
          </cell>
          <cell r="O178" t="str">
            <v>单涛</v>
          </cell>
          <cell r="P178" t="str">
            <v>单涛</v>
          </cell>
          <cell r="Q178" t="str">
            <v/>
          </cell>
          <cell r="R178" t="str">
            <v>否</v>
          </cell>
          <cell r="S178" t="str">
            <v/>
          </cell>
          <cell r="T178" t="str">
            <v/>
          </cell>
          <cell r="U178" t="str">
            <v/>
          </cell>
          <cell r="V178" t="str">
            <v/>
          </cell>
          <cell r="W178" t="str">
            <v/>
          </cell>
          <cell r="X178" t="str">
            <v/>
          </cell>
          <cell r="Y178" t="str">
            <v>1300100015</v>
          </cell>
          <cell r="Z178" t="str">
            <v>JMSW</v>
          </cell>
          <cell r="AA178" t="str">
            <v>6975925240050</v>
          </cell>
          <cell r="AB178">
            <v>36</v>
          </cell>
          <cell r="AC178">
            <v>33</v>
          </cell>
          <cell r="AD178">
            <v>27</v>
          </cell>
          <cell r="AE178">
            <v>32076</v>
          </cell>
          <cell r="AF178" t="str">
            <v>cm³</v>
          </cell>
          <cell r="AG178">
            <v>5.4</v>
          </cell>
          <cell r="AH178" t="str">
            <v>kg</v>
          </cell>
          <cell r="AI178">
            <v>5999.2</v>
          </cell>
          <cell r="AJ178" t="str">
            <v>9031499000</v>
          </cell>
          <cell r="AK178" t="str">
            <v>出卢森堡申报单价：6552.81USD</v>
          </cell>
        </row>
        <row r="179">
          <cell r="A179">
            <v>1300100014</v>
          </cell>
          <cell r="B179" t="str">
            <v>三维扫描仪Whale基础版</v>
          </cell>
          <cell r="C179" t="str">
            <v>3D Scanner Whale  Standard Package</v>
          </cell>
          <cell r="D179" t="str">
            <v>台</v>
          </cell>
          <cell r="E179" t="str">
            <v>6975925240043</v>
          </cell>
          <cell r="F179" t="str">
            <v>whale基础款</v>
          </cell>
          <cell r="G179" t="str">
            <v>3DMakerpro</v>
          </cell>
          <cell r="H179" t="str">
            <v>三维扫描仪-JMSW</v>
          </cell>
          <cell r="I179" t="str">
            <v>否</v>
          </cell>
          <cell r="J179" t="str">
            <v>否</v>
          </cell>
          <cell r="K179" t="str">
            <v>深圳积木易搭科技技术有限公司</v>
          </cell>
          <cell r="L179" t="str">
            <v/>
          </cell>
          <cell r="M179" t="str">
            <v>2023-02-08 17:23:40</v>
          </cell>
          <cell r="N179" t="str">
            <v>2025-01-14 13:55:25</v>
          </cell>
          <cell r="O179" t="str">
            <v>单涛</v>
          </cell>
          <cell r="P179" t="str">
            <v>单涛</v>
          </cell>
          <cell r="Q179" t="str">
            <v/>
          </cell>
          <cell r="R179" t="str">
            <v>否</v>
          </cell>
          <cell r="S179" t="str">
            <v/>
          </cell>
          <cell r="T179" t="str">
            <v/>
          </cell>
          <cell r="U179" t="str">
            <v/>
          </cell>
          <cell r="V179" t="str">
            <v/>
          </cell>
          <cell r="W179" t="str">
            <v/>
          </cell>
          <cell r="X179" t="str">
            <v/>
          </cell>
          <cell r="Y179" t="str">
            <v>1300100014</v>
          </cell>
          <cell r="Z179" t="str">
            <v>JMSW</v>
          </cell>
          <cell r="AA179" t="str">
            <v>6975925240043</v>
          </cell>
          <cell r="AB179">
            <v>36</v>
          </cell>
          <cell r="AC179">
            <v>33</v>
          </cell>
          <cell r="AD179">
            <v>27</v>
          </cell>
          <cell r="AE179">
            <v>32076</v>
          </cell>
          <cell r="AF179" t="str">
            <v>cm³</v>
          </cell>
          <cell r="AG179">
            <v>4.8</v>
          </cell>
          <cell r="AH179" t="str">
            <v>kg</v>
          </cell>
          <cell r="AI179">
            <v>5759.2</v>
          </cell>
          <cell r="AJ179" t="str">
            <v>9031499000</v>
          </cell>
          <cell r="AK179" t="str">
            <v>出卢森堡申报单价：6256.44USD</v>
          </cell>
        </row>
        <row r="180">
          <cell r="A180">
            <v>1300100144</v>
          </cell>
          <cell r="B180" t="str">
            <v>三维扫描仪Magic Swift Plus黑白豪华款(2023版)</v>
          </cell>
          <cell r="C180" t="str">
            <v>3D Scanner Magic Swift Plus  Monochrome Luxury(2023)</v>
          </cell>
          <cell r="D180" t="str">
            <v>台</v>
          </cell>
          <cell r="E180" t="str">
            <v>6975925240036</v>
          </cell>
          <cell r="F180" t="str">
            <v>Magic Swift Plus 黑白豪华款(2023版)</v>
          </cell>
          <cell r="G180" t="str">
            <v>3DMakerpro</v>
          </cell>
          <cell r="H180" t="str">
            <v>三维扫描仪-JMSM</v>
          </cell>
          <cell r="I180" t="str">
            <v>否</v>
          </cell>
          <cell r="J180" t="str">
            <v>否</v>
          </cell>
          <cell r="K180" t="str">
            <v>深圳积木易搭科技技术有限公司</v>
          </cell>
          <cell r="L180" t="str">
            <v/>
          </cell>
          <cell r="M180" t="str">
            <v>2023-11-22 15:44:38</v>
          </cell>
          <cell r="N180" t="str">
            <v>2025-01-14 13:55:33</v>
          </cell>
          <cell r="O180" t="str">
            <v>单涛</v>
          </cell>
          <cell r="P180" t="str">
            <v>单涛</v>
          </cell>
          <cell r="Q180" t="str">
            <v/>
          </cell>
          <cell r="R180" t="str">
            <v>否</v>
          </cell>
          <cell r="S180" t="str">
            <v/>
          </cell>
          <cell r="T180" t="str">
            <v/>
          </cell>
          <cell r="U180" t="str">
            <v/>
          </cell>
          <cell r="V180" t="str">
            <v/>
          </cell>
          <cell r="W180" t="str">
            <v/>
          </cell>
          <cell r="X180" t="str">
            <v/>
          </cell>
          <cell r="Y180" t="str">
            <v>1300100144</v>
          </cell>
          <cell r="Z180" t="str">
            <v>JMSM</v>
          </cell>
          <cell r="AA180" t="str">
            <v>6975925240036</v>
          </cell>
          <cell r="AB180">
            <v>44</v>
          </cell>
          <cell r="AC180">
            <v>32</v>
          </cell>
          <cell r="AD180">
            <v>15</v>
          </cell>
          <cell r="AE180">
            <v>21120</v>
          </cell>
          <cell r="AF180" t="str">
            <v>cm³</v>
          </cell>
          <cell r="AG180">
            <v>4.15</v>
          </cell>
          <cell r="AH180" t="str">
            <v>kg</v>
          </cell>
          <cell r="AI180">
            <v>798.4</v>
          </cell>
          <cell r="AJ180" t="str">
            <v>9031499000</v>
          </cell>
          <cell r="AK180" t="str">
            <v>62*45*36cm,17.7KGS,4PCS/CTN
出卢森堡申报单价：872.33USD</v>
          </cell>
        </row>
        <row r="181">
          <cell r="A181">
            <v>1300100017</v>
          </cell>
          <cell r="B181" t="str">
            <v>三维扫描仪Magic Swift Plus黑白款豪华版</v>
          </cell>
          <cell r="C181" t="str">
            <v>3D Scanner Magic Swift Plus  Monochrome Luxury</v>
          </cell>
          <cell r="D181" t="str">
            <v>台</v>
          </cell>
          <cell r="E181" t="str">
            <v>6975925240036-old</v>
          </cell>
          <cell r="F181" t="str">
            <v>MagicSwift Plus黑白豪华款</v>
          </cell>
          <cell r="G181" t="str">
            <v>3DMakerpro</v>
          </cell>
          <cell r="H181" t="str">
            <v>三维扫描仪-JMSM</v>
          </cell>
          <cell r="I181" t="str">
            <v>否</v>
          </cell>
          <cell r="J181" t="str">
            <v>否</v>
          </cell>
          <cell r="K181" t="str">
            <v>深圳积木易搭科技技术有限公司</v>
          </cell>
          <cell r="L181" t="str">
            <v/>
          </cell>
          <cell r="M181" t="str">
            <v>2023-02-08 17:19:07</v>
          </cell>
          <cell r="N181" t="str">
            <v>2025-01-14 13:55:41</v>
          </cell>
          <cell r="O181" t="str">
            <v>单涛</v>
          </cell>
          <cell r="P181" t="str">
            <v>单涛</v>
          </cell>
          <cell r="Q181" t="str">
            <v/>
          </cell>
          <cell r="R181" t="str">
            <v>否</v>
          </cell>
          <cell r="S181" t="str">
            <v/>
          </cell>
          <cell r="T181" t="str">
            <v/>
          </cell>
          <cell r="U181" t="str">
            <v/>
          </cell>
          <cell r="V181" t="str">
            <v/>
          </cell>
          <cell r="W181" t="str">
            <v/>
          </cell>
          <cell r="X181" t="str">
            <v/>
          </cell>
          <cell r="Y181" t="str">
            <v>1300100017</v>
          </cell>
          <cell r="Z181" t="str">
            <v>JMSM</v>
          </cell>
          <cell r="AA181" t="str">
            <v>6975925240036-old</v>
          </cell>
          <cell r="AB181">
            <v>49</v>
          </cell>
          <cell r="AC181">
            <v>32</v>
          </cell>
          <cell r="AD181">
            <v>15</v>
          </cell>
          <cell r="AE181">
            <v>23520</v>
          </cell>
          <cell r="AF181" t="str">
            <v>cm³</v>
          </cell>
          <cell r="AG181">
            <v>4.4</v>
          </cell>
          <cell r="AH181" t="str">
            <v>kg</v>
          </cell>
          <cell r="AI181">
            <v>798.4</v>
          </cell>
          <cell r="AJ181" t="str">
            <v>9031499000</v>
          </cell>
          <cell r="AK181" t="str">
            <v>867.40USD,50*46*33cm,14.2KGS,3PCS/CTN
出卢森堡申报单价：872.33USD</v>
          </cell>
        </row>
        <row r="182">
          <cell r="A182">
            <v>1300100083</v>
          </cell>
          <cell r="B182" t="str">
            <v>三维扫描仪Magic Swift Plus黑白升级款(2023版)(英文版)</v>
          </cell>
          <cell r="C182" t="str">
            <v>3D Scanner Magic Swift Plus  Monochrome Premium(2023)</v>
          </cell>
          <cell r="D182" t="str">
            <v>台</v>
          </cell>
          <cell r="E182" t="str">
            <v>6975925240029</v>
          </cell>
          <cell r="F182" t="str">
            <v>Magic Swift Plus黑白升级款(2023版)</v>
          </cell>
          <cell r="G182" t="str">
            <v>3DMakerpro</v>
          </cell>
          <cell r="H182" t="str">
            <v>三维扫描仪-JMSM</v>
          </cell>
          <cell r="I182" t="str">
            <v>否</v>
          </cell>
          <cell r="J182" t="str">
            <v>否</v>
          </cell>
          <cell r="K182" t="str">
            <v>深圳积木易搭科技技术有限公司</v>
          </cell>
          <cell r="L182" t="str">
            <v/>
          </cell>
          <cell r="M182" t="str">
            <v>2023-08-08 16:52:24</v>
          </cell>
          <cell r="N182" t="str">
            <v>2025-01-14 13:55:50</v>
          </cell>
          <cell r="O182" t="str">
            <v>单涛</v>
          </cell>
          <cell r="P182" t="str">
            <v>单涛</v>
          </cell>
          <cell r="Q182" t="str">
            <v/>
          </cell>
          <cell r="R182" t="str">
            <v>否</v>
          </cell>
          <cell r="S182" t="str">
            <v/>
          </cell>
          <cell r="T182" t="str">
            <v/>
          </cell>
          <cell r="U182" t="str">
            <v/>
          </cell>
          <cell r="V182" t="str">
            <v/>
          </cell>
          <cell r="W182" t="str">
            <v/>
          </cell>
          <cell r="X182" t="str">
            <v/>
          </cell>
          <cell r="Y182" t="str">
            <v>1300100083</v>
          </cell>
          <cell r="Z182" t="str">
            <v>JMSM</v>
          </cell>
          <cell r="AA182" t="str">
            <v>6975925240029</v>
          </cell>
          <cell r="AB182">
            <v>41</v>
          </cell>
          <cell r="AC182">
            <v>32</v>
          </cell>
          <cell r="AD182">
            <v>11</v>
          </cell>
          <cell r="AE182">
            <v>14432</v>
          </cell>
          <cell r="AF182" t="str">
            <v>cm³</v>
          </cell>
          <cell r="AG182">
            <v>2.9</v>
          </cell>
          <cell r="AH182" t="str">
            <v>kg</v>
          </cell>
          <cell r="AI182">
            <v>716</v>
          </cell>
          <cell r="AJ182" t="str">
            <v>9031499000</v>
          </cell>
          <cell r="AK182" t="str">
            <v>49*41*36cm,12.6KGS,4PCS/CTN
出卢森堡申报单价：778.47USD</v>
          </cell>
        </row>
        <row r="183">
          <cell r="A183">
            <v>1300100003</v>
          </cell>
          <cell r="B183" t="str">
            <v>三维扫描仪Magic Swift Plus黑白款升级版</v>
          </cell>
          <cell r="C183" t="str">
            <v>3D Scanner Magic Swift Plus  Monochrome Premium</v>
          </cell>
          <cell r="D183" t="str">
            <v>台</v>
          </cell>
          <cell r="E183" t="str">
            <v>6975925240029-old</v>
          </cell>
          <cell r="F183" t="str">
            <v>MagicSwift Plus黑白升级款</v>
          </cell>
          <cell r="G183" t="str">
            <v>3DMakerpro</v>
          </cell>
          <cell r="H183" t="str">
            <v>三维扫描仪-JMSM</v>
          </cell>
          <cell r="I183" t="str">
            <v>否</v>
          </cell>
          <cell r="J183" t="str">
            <v>否</v>
          </cell>
          <cell r="K183" t="str">
            <v>深圳积木易搭科技技术有限公司</v>
          </cell>
          <cell r="L183" t="str">
            <v/>
          </cell>
          <cell r="M183" t="str">
            <v>2023-02-08 17:16:46</v>
          </cell>
          <cell r="N183" t="str">
            <v>2025-01-14 13:55:57</v>
          </cell>
          <cell r="O183" t="str">
            <v>单涛</v>
          </cell>
          <cell r="P183" t="str">
            <v>单涛</v>
          </cell>
          <cell r="Q183" t="str">
            <v/>
          </cell>
          <cell r="R183" t="str">
            <v>否</v>
          </cell>
          <cell r="S183" t="str">
            <v/>
          </cell>
          <cell r="T183" t="str">
            <v/>
          </cell>
          <cell r="U183" t="str">
            <v/>
          </cell>
          <cell r="V183" t="str">
            <v/>
          </cell>
          <cell r="W183" t="str">
            <v/>
          </cell>
          <cell r="X183" t="str">
            <v/>
          </cell>
          <cell r="Y183" t="str">
            <v>1300100003</v>
          </cell>
          <cell r="Z183" t="str">
            <v>JMSM</v>
          </cell>
          <cell r="AA183" t="str">
            <v>6975925240029-old</v>
          </cell>
          <cell r="AB183">
            <v>49</v>
          </cell>
          <cell r="AC183">
            <v>32</v>
          </cell>
          <cell r="AD183">
            <v>11</v>
          </cell>
          <cell r="AE183">
            <v>17248</v>
          </cell>
          <cell r="AF183" t="str">
            <v>cm³</v>
          </cell>
          <cell r="AG183">
            <v>3.2</v>
          </cell>
          <cell r="AH183" t="str">
            <v>kg</v>
          </cell>
          <cell r="AI183">
            <v>716</v>
          </cell>
          <cell r="AJ183" t="str">
            <v>9031499000</v>
          </cell>
          <cell r="AK183" t="str">
            <v>50*46*33cm,13.8KGS,4PCS/CTN
出卢森堡申报单价：778.47USD</v>
          </cell>
        </row>
        <row r="184">
          <cell r="A184">
            <v>1300100062</v>
          </cell>
          <cell r="B184" t="str">
            <v>三维扫描仪Magic Swift Plus彩色豪华款 (2023版)</v>
          </cell>
          <cell r="C184" t="str">
            <v>3D Scanner Magic Swift Plus Color Luxury(2023)</v>
          </cell>
          <cell r="D184" t="str">
            <v>台</v>
          </cell>
          <cell r="E184" t="str">
            <v>6975925240005</v>
          </cell>
          <cell r="F184" t="str">
            <v>Magic Swift Plus 彩色 豪华款 (2023版)</v>
          </cell>
          <cell r="G184" t="str">
            <v>3DMakerpro</v>
          </cell>
          <cell r="H184" t="str">
            <v>三维扫描仪-JMSC</v>
          </cell>
          <cell r="I184" t="str">
            <v>否</v>
          </cell>
          <cell r="J184" t="str">
            <v>否</v>
          </cell>
          <cell r="K184" t="str">
            <v>深圳积木易搭科技技术有限公司</v>
          </cell>
          <cell r="L184" t="str">
            <v/>
          </cell>
          <cell r="M184" t="str">
            <v>2023-10-31 15:55:05</v>
          </cell>
          <cell r="N184" t="str">
            <v>2025-01-14 13:56:09</v>
          </cell>
          <cell r="O184" t="str">
            <v>单涛</v>
          </cell>
          <cell r="P184" t="str">
            <v>单涛</v>
          </cell>
          <cell r="Q184" t="str">
            <v/>
          </cell>
          <cell r="R184" t="str">
            <v>否</v>
          </cell>
          <cell r="S184" t="str">
            <v/>
          </cell>
          <cell r="T184" t="str">
            <v/>
          </cell>
          <cell r="U184" t="str">
            <v/>
          </cell>
          <cell r="V184" t="str">
            <v/>
          </cell>
          <cell r="W184" t="str">
            <v/>
          </cell>
          <cell r="X184" t="str">
            <v/>
          </cell>
          <cell r="Y184" t="str">
            <v>1300100062</v>
          </cell>
          <cell r="Z184" t="str">
            <v>JMSC</v>
          </cell>
          <cell r="AA184" t="str">
            <v>6975925240005</v>
          </cell>
          <cell r="AB184">
            <v>49</v>
          </cell>
          <cell r="AC184">
            <v>32</v>
          </cell>
          <cell r="AD184">
            <v>15</v>
          </cell>
          <cell r="AE184">
            <v>23520</v>
          </cell>
          <cell r="AF184" t="str">
            <v>cm³</v>
          </cell>
          <cell r="AG184">
            <v>4.4</v>
          </cell>
          <cell r="AH184" t="str">
            <v>kg</v>
          </cell>
          <cell r="AI184">
            <v>798.4</v>
          </cell>
          <cell r="AJ184" t="str">
            <v>9031499000</v>
          </cell>
          <cell r="AK184" t="str">
            <v>4PCS/CTNS,18KGS,62*45*36cm,
出卢森堡申报单价：872.33USD</v>
          </cell>
        </row>
        <row r="185">
          <cell r="A185">
            <v>1300100030</v>
          </cell>
          <cell r="B185" t="str">
            <v>三维扫描仪Magic Swift Plus彩色款豪华版</v>
          </cell>
          <cell r="C185" t="str">
            <v>3D Scanner Magic Swift Plus Color Luxury</v>
          </cell>
          <cell r="D185" t="str">
            <v>台</v>
          </cell>
          <cell r="E185" t="str">
            <v>6975925240005-old</v>
          </cell>
          <cell r="F185" t="str">
            <v>MagicSwift Plus彩色豪华款</v>
          </cell>
          <cell r="G185" t="str">
            <v>3DMakerpro</v>
          </cell>
          <cell r="H185" t="str">
            <v>三维扫描仪-JMSC</v>
          </cell>
          <cell r="I185" t="str">
            <v>否</v>
          </cell>
          <cell r="J185" t="str">
            <v>否</v>
          </cell>
          <cell r="K185" t="str">
            <v>深圳积木易搭科技技术有限公司</v>
          </cell>
          <cell r="L185" t="str">
            <v/>
          </cell>
          <cell r="M185" t="str">
            <v>2023-02-08 17:11:56</v>
          </cell>
          <cell r="N185" t="str">
            <v>2025-01-14 13:56:16</v>
          </cell>
          <cell r="O185" t="str">
            <v>单涛</v>
          </cell>
          <cell r="P185" t="str">
            <v>单涛</v>
          </cell>
          <cell r="Q185" t="str">
            <v/>
          </cell>
          <cell r="R185" t="str">
            <v>否</v>
          </cell>
          <cell r="S185" t="str">
            <v/>
          </cell>
          <cell r="T185" t="str">
            <v/>
          </cell>
          <cell r="U185" t="str">
            <v/>
          </cell>
          <cell r="V185" t="str">
            <v/>
          </cell>
          <cell r="W185" t="str">
            <v/>
          </cell>
          <cell r="X185" t="str">
            <v/>
          </cell>
          <cell r="Y185" t="str">
            <v>1300100030</v>
          </cell>
          <cell r="Z185" t="str">
            <v>JMSC</v>
          </cell>
          <cell r="AA185" t="str">
            <v>6975925240005-old</v>
          </cell>
          <cell r="AB185">
            <v>49</v>
          </cell>
          <cell r="AC185">
            <v>32</v>
          </cell>
          <cell r="AD185">
            <v>15</v>
          </cell>
          <cell r="AE185">
            <v>23520</v>
          </cell>
          <cell r="AF185" t="str">
            <v>cm³</v>
          </cell>
          <cell r="AG185">
            <v>4.4</v>
          </cell>
          <cell r="AH185" t="str">
            <v>kg</v>
          </cell>
          <cell r="AI185">
            <v>798.4</v>
          </cell>
          <cell r="AJ185" t="str">
            <v>9031499000</v>
          </cell>
          <cell r="AK185" t="str">
            <v>出卢森堡申报单价：872.33USD</v>
          </cell>
        </row>
        <row r="186">
          <cell r="A186">
            <v>1300100070</v>
          </cell>
          <cell r="B186" t="str">
            <v>三维扫描仪Magic Swift Plus彩色升级款(2023版)(英文版)</v>
          </cell>
          <cell r="C186" t="str">
            <v>3D Scanner Magic Swift Plus Color Premium(2023)</v>
          </cell>
          <cell r="D186" t="str">
            <v>台</v>
          </cell>
          <cell r="E186" t="str">
            <v>6975925240012</v>
          </cell>
          <cell r="F186" t="str">
            <v>三维扫描仪 Magic Swift Plus彩色升级版(2023版）</v>
          </cell>
          <cell r="G186" t="str">
            <v>3DMakerpro</v>
          </cell>
          <cell r="H186" t="str">
            <v>三维扫描仪-JMSC</v>
          </cell>
          <cell r="I186" t="str">
            <v>否</v>
          </cell>
          <cell r="J186" t="str">
            <v>否</v>
          </cell>
          <cell r="K186" t="str">
            <v>深圳积木易搭科技技术有限公司</v>
          </cell>
          <cell r="L186" t="str">
            <v/>
          </cell>
          <cell r="M186" t="str">
            <v>2023-07-17 17:47:53</v>
          </cell>
          <cell r="N186" t="str">
            <v>2025-01-14 13:56:24</v>
          </cell>
          <cell r="O186" t="str">
            <v>单涛</v>
          </cell>
          <cell r="P186" t="str">
            <v>单涛</v>
          </cell>
          <cell r="Q186" t="str">
            <v/>
          </cell>
          <cell r="R186" t="str">
            <v>否</v>
          </cell>
          <cell r="S186" t="str">
            <v/>
          </cell>
          <cell r="T186" t="str">
            <v/>
          </cell>
          <cell r="U186" t="str">
            <v/>
          </cell>
          <cell r="V186" t="str">
            <v/>
          </cell>
          <cell r="W186" t="str">
            <v/>
          </cell>
          <cell r="X186" t="str">
            <v/>
          </cell>
          <cell r="Y186" t="str">
            <v>1300100070</v>
          </cell>
          <cell r="Z186" t="str">
            <v>JMSC</v>
          </cell>
          <cell r="AA186" t="str">
            <v>6975925240012</v>
          </cell>
          <cell r="AB186">
            <v>49</v>
          </cell>
          <cell r="AC186">
            <v>32</v>
          </cell>
          <cell r="AD186">
            <v>11</v>
          </cell>
          <cell r="AE186">
            <v>17248</v>
          </cell>
          <cell r="AF186" t="str">
            <v>cm³</v>
          </cell>
          <cell r="AG186">
            <v>3.2</v>
          </cell>
          <cell r="AH186" t="str">
            <v>kg</v>
          </cell>
          <cell r="AI186">
            <v>716</v>
          </cell>
          <cell r="AJ186" t="str">
            <v>9031499000</v>
          </cell>
          <cell r="AK186" t="str">
            <v>4PCS/CTN,13.8KGS,50*46*33cm
出卢森堡申报单价：778.47USD</v>
          </cell>
        </row>
        <row r="187">
          <cell r="A187">
            <v>1300100004</v>
          </cell>
          <cell r="B187" t="str">
            <v>三维扫描仪Magic Swift Plus彩色款升级版</v>
          </cell>
          <cell r="C187" t="str">
            <v>3D Scanner Magic Swift Plus Color Premium</v>
          </cell>
          <cell r="D187" t="str">
            <v>台</v>
          </cell>
          <cell r="E187" t="str">
            <v>6975925240012-old</v>
          </cell>
          <cell r="F187" t="str">
            <v>MagicSwift Plus彩色升级款</v>
          </cell>
          <cell r="G187" t="str">
            <v>3DMakerpro</v>
          </cell>
          <cell r="H187" t="str">
            <v>三维扫描仪-JMSC</v>
          </cell>
          <cell r="I187" t="str">
            <v>否</v>
          </cell>
          <cell r="J187" t="str">
            <v>否</v>
          </cell>
          <cell r="K187" t="str">
            <v>深圳积木易搭科技技术有限公司</v>
          </cell>
          <cell r="L187" t="str">
            <v/>
          </cell>
          <cell r="M187" t="str">
            <v>2023-02-08 17:07:08</v>
          </cell>
          <cell r="N187" t="str">
            <v>2025-01-14 13:56:32</v>
          </cell>
          <cell r="O187" t="str">
            <v>单涛</v>
          </cell>
          <cell r="P187" t="str">
            <v>单涛</v>
          </cell>
          <cell r="Q187" t="str">
            <v/>
          </cell>
          <cell r="R187" t="str">
            <v>否</v>
          </cell>
          <cell r="S187" t="str">
            <v/>
          </cell>
          <cell r="T187" t="str">
            <v/>
          </cell>
          <cell r="U187" t="str">
            <v/>
          </cell>
          <cell r="V187" t="str">
            <v/>
          </cell>
          <cell r="W187" t="str">
            <v/>
          </cell>
          <cell r="X187" t="str">
            <v/>
          </cell>
          <cell r="Y187" t="str">
            <v>1300100004</v>
          </cell>
          <cell r="Z187" t="str">
            <v>JMSC</v>
          </cell>
          <cell r="AA187" t="str">
            <v>6975925240012-old</v>
          </cell>
          <cell r="AB187">
            <v>49</v>
          </cell>
          <cell r="AC187">
            <v>32</v>
          </cell>
          <cell r="AD187">
            <v>11</v>
          </cell>
          <cell r="AE187">
            <v>17248</v>
          </cell>
          <cell r="AF187" t="str">
            <v>cm³</v>
          </cell>
          <cell r="AG187">
            <v>3.2</v>
          </cell>
          <cell r="AH187" t="str">
            <v>kg</v>
          </cell>
          <cell r="AI187">
            <v>716</v>
          </cell>
          <cell r="AJ187" t="str">
            <v>9031499000</v>
          </cell>
          <cell r="AK187" t="str">
            <v>出卢森堡申报单价：778.47USD</v>
          </cell>
        </row>
        <row r="188">
          <cell r="A188">
            <v>1300100010</v>
          </cell>
          <cell r="B188" t="str">
            <v>三维扫描仪CR-Scan Lizard豪华款</v>
          </cell>
          <cell r="C188" t="str">
            <v>3D Scanner CR-Scan Lizard Luxury</v>
          </cell>
          <cell r="D188" t="str">
            <v>台</v>
          </cell>
          <cell r="E188" t="str">
            <v>6971636407553</v>
          </cell>
          <cell r="F188" t="str">
            <v>低配豪华款</v>
          </cell>
          <cell r="G188" t="str">
            <v>Creality</v>
          </cell>
          <cell r="H188" t="str">
            <v>三维扫描仪-CRSL</v>
          </cell>
          <cell r="I188" t="str">
            <v>否</v>
          </cell>
          <cell r="J188" t="str">
            <v>否</v>
          </cell>
          <cell r="K188" t="str">
            <v>深圳积木易搭科技技术有限公司</v>
          </cell>
          <cell r="L188" t="str">
            <v/>
          </cell>
          <cell r="M188" t="str">
            <v>2023-02-08 17:00:22</v>
          </cell>
          <cell r="N188" t="str">
            <v>2025-01-14 13:56:42</v>
          </cell>
          <cell r="O188" t="str">
            <v>单涛</v>
          </cell>
          <cell r="P188" t="str">
            <v>单涛</v>
          </cell>
          <cell r="Q188" t="str">
            <v/>
          </cell>
          <cell r="R188" t="str">
            <v>否</v>
          </cell>
          <cell r="S188" t="str">
            <v>创想料号4008050029:EAN: 6971636407553</v>
          </cell>
          <cell r="T188" t="str">
            <v/>
          </cell>
          <cell r="U188" t="str">
            <v/>
          </cell>
          <cell r="V188" t="str">
            <v/>
          </cell>
          <cell r="W188" t="str">
            <v/>
          </cell>
          <cell r="X188" t="str">
            <v/>
          </cell>
          <cell r="Y188" t="str">
            <v>1300100010</v>
          </cell>
          <cell r="Z188" t="str">
            <v>CRSL</v>
          </cell>
          <cell r="AA188" t="str">
            <v>6971636407553</v>
          </cell>
          <cell r="AB188">
            <v>35</v>
          </cell>
          <cell r="AC188">
            <v>32</v>
          </cell>
          <cell r="AD188">
            <v>15</v>
          </cell>
          <cell r="AE188">
            <v>16800</v>
          </cell>
          <cell r="AF188" t="str">
            <v>cm³</v>
          </cell>
          <cell r="AG188">
            <v>3.3</v>
          </cell>
          <cell r="AH188" t="str">
            <v>kg</v>
          </cell>
          <cell r="AI188">
            <v>535.2</v>
          </cell>
          <cell r="AJ188" t="str">
            <v>9031499000</v>
          </cell>
          <cell r="AK188" t="str">
            <v/>
          </cell>
        </row>
        <row r="189">
          <cell r="A189">
            <v>1300100008</v>
          </cell>
          <cell r="B189" t="str">
            <v>三维扫描仪CR-Scan Lizard升级款</v>
          </cell>
          <cell r="C189" t="str">
            <v>3D Scanner CR-Scan Lizard Premium</v>
          </cell>
          <cell r="D189" t="str">
            <v>台</v>
          </cell>
          <cell r="E189" t="str">
            <v>6971636407782</v>
          </cell>
          <cell r="F189" t="str">
            <v>低配升级款</v>
          </cell>
          <cell r="G189" t="str">
            <v>Creality</v>
          </cell>
          <cell r="H189" t="str">
            <v>三维扫描仪-CRSL</v>
          </cell>
          <cell r="I189" t="str">
            <v>否</v>
          </cell>
          <cell r="J189" t="str">
            <v>否</v>
          </cell>
          <cell r="K189" t="str">
            <v>深圳积木易搭科技技术有限公司</v>
          </cell>
          <cell r="L189" t="str">
            <v/>
          </cell>
          <cell r="M189" t="str">
            <v>2023-02-08 16:57:14</v>
          </cell>
          <cell r="N189" t="str">
            <v>2025-01-14 13:56:49</v>
          </cell>
          <cell r="O189" t="str">
            <v>单涛</v>
          </cell>
          <cell r="P189" t="str">
            <v>单涛</v>
          </cell>
          <cell r="Q189" t="str">
            <v/>
          </cell>
          <cell r="R189" t="str">
            <v>否</v>
          </cell>
          <cell r="S189" t="str">
            <v>创想料号4008050028: EAN: 6971636407782</v>
          </cell>
          <cell r="T189" t="str">
            <v/>
          </cell>
          <cell r="U189" t="str">
            <v/>
          </cell>
          <cell r="V189" t="str">
            <v/>
          </cell>
          <cell r="W189" t="str">
            <v/>
          </cell>
          <cell r="X189" t="str">
            <v/>
          </cell>
          <cell r="Y189" t="str">
            <v>1300100008</v>
          </cell>
          <cell r="Z189" t="str">
            <v>CRSL</v>
          </cell>
          <cell r="AA189" t="str">
            <v>6971636407782</v>
          </cell>
          <cell r="AB189">
            <v>35</v>
          </cell>
          <cell r="AC189">
            <v>26</v>
          </cell>
          <cell r="AD189">
            <v>12</v>
          </cell>
          <cell r="AE189">
            <v>10920</v>
          </cell>
          <cell r="AF189" t="str">
            <v>cm³</v>
          </cell>
          <cell r="AG189">
            <v>2</v>
          </cell>
          <cell r="AH189" t="str">
            <v>kg</v>
          </cell>
          <cell r="AI189">
            <v>472.8</v>
          </cell>
          <cell r="AJ189" t="str">
            <v>9031499000</v>
          </cell>
          <cell r="AK189" t="str">
            <v>13.2KGS,6PCS/CTNS,52*36*37cm</v>
          </cell>
        </row>
        <row r="190">
          <cell r="A190">
            <v>1300100009</v>
          </cell>
          <cell r="B190" t="str">
            <v>三维扫描仪CR-Scan Lizard基础款</v>
          </cell>
          <cell r="C190" t="str">
            <v>3D Scanner CR-Scan Lizard Standard</v>
          </cell>
          <cell r="D190" t="str">
            <v>台</v>
          </cell>
          <cell r="E190" t="str">
            <v>6971636407973</v>
          </cell>
          <cell r="F190" t="str">
            <v>低配基础款</v>
          </cell>
          <cell r="G190" t="str">
            <v>Creality</v>
          </cell>
          <cell r="H190" t="str">
            <v>三维扫描仪-CRSL</v>
          </cell>
          <cell r="I190" t="str">
            <v>否</v>
          </cell>
          <cell r="J190" t="str">
            <v>否</v>
          </cell>
          <cell r="K190" t="str">
            <v>深圳积木易搭科技技术有限公司</v>
          </cell>
          <cell r="L190" t="str">
            <v/>
          </cell>
          <cell r="M190" t="str">
            <v>2023-02-08 16:54:52</v>
          </cell>
          <cell r="N190" t="str">
            <v>2025-01-14 13:56:57</v>
          </cell>
          <cell r="O190" t="str">
            <v>单涛</v>
          </cell>
          <cell r="P190" t="str">
            <v>单涛</v>
          </cell>
          <cell r="Q190" t="str">
            <v/>
          </cell>
          <cell r="R190" t="str">
            <v>否</v>
          </cell>
          <cell r="S190" t="str">
            <v>创想料号：4008050027，EAN: 6971636407973</v>
          </cell>
          <cell r="T190" t="str">
            <v/>
          </cell>
          <cell r="U190" t="str">
            <v/>
          </cell>
          <cell r="V190" t="str">
            <v/>
          </cell>
          <cell r="W190" t="str">
            <v/>
          </cell>
          <cell r="X190" t="str">
            <v/>
          </cell>
          <cell r="Y190" t="str">
            <v>1300100009</v>
          </cell>
          <cell r="Z190" t="str">
            <v>CRSL</v>
          </cell>
          <cell r="AA190" t="str">
            <v>6971636407973</v>
          </cell>
          <cell r="AB190">
            <v>23</v>
          </cell>
          <cell r="AC190">
            <v>16</v>
          </cell>
          <cell r="AD190">
            <v>14</v>
          </cell>
          <cell r="AE190">
            <v>5152</v>
          </cell>
          <cell r="AF190" t="str">
            <v>cm³</v>
          </cell>
          <cell r="AG190">
            <v>1.25</v>
          </cell>
          <cell r="AH190" t="str">
            <v>kg</v>
          </cell>
          <cell r="AI190">
            <v>409.6</v>
          </cell>
          <cell r="AJ190" t="str">
            <v>9031499000</v>
          </cell>
          <cell r="AK190" t="str">
            <v>558.46USD</v>
          </cell>
        </row>
        <row r="191">
          <cell r="A191">
            <v>1300100006</v>
          </cell>
          <cell r="B191" t="str">
            <v>三维扫描仪CR-Scan 01 Premium Kit</v>
          </cell>
          <cell r="C191" t="str">
            <v>3D Scanner CR-Scan 01 Premium Kit</v>
          </cell>
          <cell r="D191" t="str">
            <v>台</v>
          </cell>
          <cell r="E191" t="str">
            <v>6975925240098</v>
          </cell>
          <cell r="F191" t="str">
            <v>CR-Scan 01豪华款</v>
          </cell>
          <cell r="G191" t="str">
            <v>Creality</v>
          </cell>
          <cell r="H191" t="str">
            <v>三维扫描仪-CRS1</v>
          </cell>
          <cell r="I191" t="str">
            <v>否</v>
          </cell>
          <cell r="J191" t="str">
            <v>否</v>
          </cell>
          <cell r="K191" t="str">
            <v>深圳积木易搭科技技术有限公司</v>
          </cell>
          <cell r="L191" t="str">
            <v/>
          </cell>
          <cell r="M191" t="str">
            <v>2023-02-08 16:16:33</v>
          </cell>
          <cell r="N191" t="str">
            <v>2025-01-14 13:57:04</v>
          </cell>
          <cell r="O191" t="str">
            <v>单涛</v>
          </cell>
          <cell r="P191" t="str">
            <v>单涛</v>
          </cell>
          <cell r="Q191" t="str">
            <v/>
          </cell>
          <cell r="R191" t="str">
            <v>否</v>
          </cell>
          <cell r="S191" t="str">
            <v>4008050022</v>
          </cell>
          <cell r="T191" t="str">
            <v/>
          </cell>
          <cell r="U191" t="str">
            <v/>
          </cell>
          <cell r="V191" t="str">
            <v/>
          </cell>
          <cell r="W191" t="str">
            <v/>
          </cell>
          <cell r="X191" t="str">
            <v/>
          </cell>
          <cell r="Y191" t="str">
            <v>1300100006</v>
          </cell>
          <cell r="Z191" t="str">
            <v>CRS1</v>
          </cell>
          <cell r="AA191" t="str">
            <v>6975925240098</v>
          </cell>
          <cell r="AB191">
            <v>41</v>
          </cell>
          <cell r="AC191">
            <v>31</v>
          </cell>
          <cell r="AD191">
            <v>11</v>
          </cell>
          <cell r="AE191">
            <v>13981</v>
          </cell>
          <cell r="AF191" t="str">
            <v>cm³</v>
          </cell>
          <cell r="AG191">
            <v>2.9</v>
          </cell>
          <cell r="AH191" t="str">
            <v>kg</v>
          </cell>
          <cell r="AI191" t="str">
            <v/>
          </cell>
          <cell r="AJ191" t="str">
            <v>9031499000</v>
          </cell>
          <cell r="AK191" t="str">
            <v>424.54USD</v>
          </cell>
        </row>
        <row r="192">
          <cell r="A192">
            <v>1300100001</v>
          </cell>
          <cell r="B192" t="str">
            <v>三维扫描仪CR-Scan 01 Creality 3D Scanner Upgraded</v>
          </cell>
          <cell r="C192" t="str">
            <v>CR-Scan 01 Creality 3D Scanner Upgraded</v>
          </cell>
          <cell r="D192" t="str">
            <v>台</v>
          </cell>
          <cell r="E192" t="str">
            <v>6975925240081</v>
          </cell>
          <cell r="F192" t="str">
            <v>CR-Scan 01升级款</v>
          </cell>
          <cell r="G192" t="str">
            <v>Creality</v>
          </cell>
          <cell r="H192" t="str">
            <v>三维扫描仪-CRS1</v>
          </cell>
          <cell r="I192" t="str">
            <v>否</v>
          </cell>
          <cell r="J192" t="str">
            <v>否</v>
          </cell>
          <cell r="K192" t="str">
            <v>深圳积木易搭科技技术有限公司</v>
          </cell>
          <cell r="L192" t="str">
            <v/>
          </cell>
          <cell r="M192" t="str">
            <v>2023-02-08 16:11:52</v>
          </cell>
          <cell r="N192" t="str">
            <v>2025-01-14 13:57:12</v>
          </cell>
          <cell r="O192" t="str">
            <v>单涛</v>
          </cell>
          <cell r="P192" t="str">
            <v>单涛</v>
          </cell>
          <cell r="Q192" t="str">
            <v/>
          </cell>
          <cell r="R192" t="str">
            <v>否</v>
          </cell>
          <cell r="S192" t="str">
            <v/>
          </cell>
          <cell r="T192" t="str">
            <v/>
          </cell>
          <cell r="U192" t="str">
            <v/>
          </cell>
          <cell r="V192" t="str">
            <v/>
          </cell>
          <cell r="W192" t="str">
            <v/>
          </cell>
          <cell r="X192" t="str">
            <v/>
          </cell>
          <cell r="Y192" t="str">
            <v>1300100001</v>
          </cell>
          <cell r="Z192" t="str">
            <v>CRS1</v>
          </cell>
          <cell r="AA192" t="str">
            <v>6975925240081</v>
          </cell>
          <cell r="AB192" t="str">
            <v/>
          </cell>
          <cell r="AC192" t="str">
            <v/>
          </cell>
          <cell r="AD192" t="str">
            <v/>
          </cell>
          <cell r="AE192" t="str">
            <v/>
          </cell>
          <cell r="AF192" t="str">
            <v/>
          </cell>
          <cell r="AG192" t="str">
            <v/>
          </cell>
          <cell r="AH192" t="str">
            <v/>
          </cell>
          <cell r="AI192" t="str">
            <v/>
          </cell>
          <cell r="AJ192" t="str">
            <v>9031499000</v>
          </cell>
          <cell r="AK192" t="str">
            <v/>
          </cell>
        </row>
        <row r="193">
          <cell r="A193">
            <v>1300100005</v>
          </cell>
          <cell r="B193" t="str">
            <v>三维扫描仪CR-Scan 01 Creality 3D Scanner</v>
          </cell>
          <cell r="C193" t="str">
            <v>CR-Scan 01 Creality 3D Scanner</v>
          </cell>
          <cell r="D193" t="str">
            <v>台</v>
          </cell>
          <cell r="E193" t="str">
            <v>6975925240074</v>
          </cell>
          <cell r="F193" t="str">
            <v>CR-Scan 01基础款</v>
          </cell>
          <cell r="G193" t="str">
            <v>Creality</v>
          </cell>
          <cell r="H193" t="str">
            <v>三维扫描仪-CRS1</v>
          </cell>
          <cell r="I193" t="str">
            <v>否</v>
          </cell>
          <cell r="J193" t="str">
            <v>否</v>
          </cell>
          <cell r="K193" t="str">
            <v>深圳积木易搭科技技术有限公司</v>
          </cell>
          <cell r="L193" t="str">
            <v/>
          </cell>
          <cell r="M193" t="str">
            <v>2023-02-08 15:52:16</v>
          </cell>
          <cell r="N193" t="str">
            <v>2025-01-14 13:57:19</v>
          </cell>
          <cell r="O193" t="str">
            <v>单涛</v>
          </cell>
          <cell r="P193" t="str">
            <v>单涛</v>
          </cell>
          <cell r="Q193" t="str">
            <v/>
          </cell>
          <cell r="R193" t="str">
            <v>否</v>
          </cell>
          <cell r="S193" t="str">
            <v/>
          </cell>
          <cell r="T193" t="str">
            <v/>
          </cell>
          <cell r="U193" t="str">
            <v/>
          </cell>
          <cell r="V193" t="str">
            <v/>
          </cell>
          <cell r="W193" t="str">
            <v/>
          </cell>
          <cell r="X193" t="str">
            <v/>
          </cell>
          <cell r="Y193" t="str">
            <v>1300100005</v>
          </cell>
          <cell r="Z193" t="str">
            <v>CRS1</v>
          </cell>
          <cell r="AA193" t="str">
            <v>6975925240074</v>
          </cell>
          <cell r="AB193">
            <v>30</v>
          </cell>
          <cell r="AC193">
            <v>20</v>
          </cell>
          <cell r="AD193">
            <v>90</v>
          </cell>
          <cell r="AE193">
            <v>54000</v>
          </cell>
          <cell r="AF193" t="str">
            <v>cm³</v>
          </cell>
          <cell r="AG193">
            <v>1.2</v>
          </cell>
          <cell r="AH193" t="str">
            <v>kg</v>
          </cell>
          <cell r="AI193" t="str">
            <v/>
          </cell>
          <cell r="AJ193" t="str">
            <v>9031499000</v>
          </cell>
          <cell r="AK193" t="str">
            <v/>
          </cell>
        </row>
        <row r="194">
          <cell r="A194">
            <v>1300100235</v>
          </cell>
          <cell r="B194" t="str">
            <v>三维扫描系统SC-J6M</v>
          </cell>
          <cell r="C194" t="str">
            <v/>
          </cell>
          <cell r="D194" t="str">
            <v>台</v>
          </cell>
          <cell r="E194" t="str">
            <v/>
          </cell>
          <cell r="F194" t="str">
            <v>三维扫描系统SC-J6M</v>
          </cell>
          <cell r="G194" t="str">
            <v>3DMakerpro</v>
          </cell>
          <cell r="H194" t="str">
            <v>三维扫描仪-CN</v>
          </cell>
          <cell r="I194" t="str">
            <v>否</v>
          </cell>
          <cell r="J194" t="str">
            <v>否</v>
          </cell>
          <cell r="K194" t="str">
            <v>深圳积木易搭科技技术有限公司</v>
          </cell>
          <cell r="L194" t="str">
            <v/>
          </cell>
          <cell r="M194" t="str">
            <v>2025-05-27 10:25:37</v>
          </cell>
          <cell r="N194" t="str">
            <v>2025-05-27 10:36:07</v>
          </cell>
          <cell r="O194" t="str">
            <v>单涛</v>
          </cell>
          <cell r="P194" t="str">
            <v>单涛</v>
          </cell>
          <cell r="Q194" t="str">
            <v/>
          </cell>
          <cell r="R194" t="str">
            <v>否</v>
          </cell>
          <cell r="S194" t="str">
            <v>主机+大标定板，不含三脚架、云台及小标定板</v>
          </cell>
          <cell r="T194" t="str">
            <v/>
          </cell>
          <cell r="U194" t="str">
            <v/>
          </cell>
          <cell r="V194" t="str">
            <v/>
          </cell>
          <cell r="W194" t="str">
            <v/>
          </cell>
          <cell r="X194" t="str">
            <v/>
          </cell>
          <cell r="Y194" t="str">
            <v>1300100235</v>
          </cell>
          <cell r="Z194" t="str">
            <v>SC-J6M</v>
          </cell>
          <cell r="AA194" t="str">
            <v/>
          </cell>
          <cell r="AB194">
            <v>52</v>
          </cell>
          <cell r="AC194">
            <v>35</v>
          </cell>
          <cell r="AD194">
            <v>19</v>
          </cell>
          <cell r="AE194">
            <v>34580</v>
          </cell>
          <cell r="AF194" t="str">
            <v>cm³</v>
          </cell>
          <cell r="AG194">
            <v>7.5</v>
          </cell>
          <cell r="AH194" t="str">
            <v>kg</v>
          </cell>
          <cell r="AI194" t="str">
            <v/>
          </cell>
          <cell r="AJ194" t="str">
            <v/>
          </cell>
          <cell r="AK194" t="str">
            <v/>
          </cell>
        </row>
        <row r="195">
          <cell r="A195">
            <v>1040600075</v>
          </cell>
          <cell r="B195" t="str">
            <v>转接头</v>
          </cell>
          <cell r="C195" t="str">
            <v/>
          </cell>
          <cell r="D195" t="str">
            <v>个</v>
          </cell>
          <cell r="E195" t="str">
            <v/>
          </cell>
          <cell r="F195" t="str">
            <v>转接头</v>
          </cell>
          <cell r="G195" t="str">
            <v>3DMakerpro</v>
          </cell>
          <cell r="H195" t="str">
            <v>三维扫描仪备品备件</v>
          </cell>
          <cell r="I195" t="str">
            <v>否</v>
          </cell>
          <cell r="J195" t="str">
            <v>否</v>
          </cell>
          <cell r="K195" t="str">
            <v>深圳积木易搭科技技术有限公司</v>
          </cell>
          <cell r="L195" t="str">
            <v/>
          </cell>
          <cell r="M195" t="str">
            <v>2025-05-19 13:40:10</v>
          </cell>
          <cell r="N195" t="str">
            <v>2025-05-19 13:40:10</v>
          </cell>
          <cell r="O195" t="str">
            <v>单涛</v>
          </cell>
          <cell r="P195" t="str">
            <v/>
          </cell>
          <cell r="Q195" t="str">
            <v/>
          </cell>
          <cell r="R195" t="str">
            <v>否</v>
          </cell>
          <cell r="S195" t="str">
            <v/>
          </cell>
          <cell r="T195" t="str">
            <v/>
          </cell>
          <cell r="U195" t="str">
            <v/>
          </cell>
          <cell r="V195" t="str">
            <v/>
          </cell>
          <cell r="W195" t="str">
            <v/>
          </cell>
          <cell r="X195" t="str">
            <v/>
          </cell>
          <cell r="Y195" t="str">
            <v>1040600075</v>
          </cell>
          <cell r="Z195" t="str">
            <v>-</v>
          </cell>
          <cell r="AA195" t="str">
            <v/>
          </cell>
          <cell r="AB195" t="str">
            <v/>
          </cell>
          <cell r="AC195" t="str">
            <v/>
          </cell>
          <cell r="AD195" t="str">
            <v/>
          </cell>
          <cell r="AE195" t="str">
            <v/>
          </cell>
          <cell r="AF195" t="str">
            <v/>
          </cell>
          <cell r="AG195" t="str">
            <v/>
          </cell>
          <cell r="AH195" t="str">
            <v/>
          </cell>
          <cell r="AI195" t="str">
            <v/>
          </cell>
          <cell r="AJ195" t="str">
            <v/>
          </cell>
          <cell r="AK195" t="str">
            <v/>
          </cell>
        </row>
        <row r="196">
          <cell r="A196">
            <v>1021900162</v>
          </cell>
          <cell r="B196" t="str">
            <v>双弯头连接线</v>
          </cell>
          <cell r="C196" t="str">
            <v/>
          </cell>
          <cell r="D196" t="str">
            <v>根</v>
          </cell>
          <cell r="E196" t="str">
            <v/>
          </cell>
          <cell r="F196" t="str">
            <v>双弯头连接线</v>
          </cell>
          <cell r="G196" t="str">
            <v>3DMakerpro</v>
          </cell>
          <cell r="H196" t="str">
            <v>三维扫描仪备品备件</v>
          </cell>
          <cell r="I196" t="str">
            <v>否</v>
          </cell>
          <cell r="J196" t="str">
            <v>否</v>
          </cell>
          <cell r="K196" t="str">
            <v>深圳积木易搭科技技术有限公司</v>
          </cell>
          <cell r="L196" t="str">
            <v/>
          </cell>
          <cell r="M196" t="str">
            <v>2025-05-13 15:16:14</v>
          </cell>
          <cell r="N196" t="str">
            <v>2025-05-13 15:16:14</v>
          </cell>
          <cell r="O196" t="str">
            <v>单涛</v>
          </cell>
          <cell r="P196" t="str">
            <v/>
          </cell>
          <cell r="Q196" t="str">
            <v/>
          </cell>
          <cell r="R196" t="str">
            <v>否</v>
          </cell>
          <cell r="S196" t="str">
            <v/>
          </cell>
          <cell r="T196" t="str">
            <v/>
          </cell>
          <cell r="U196" t="str">
            <v/>
          </cell>
          <cell r="V196" t="str">
            <v/>
          </cell>
          <cell r="W196" t="str">
            <v/>
          </cell>
          <cell r="X196" t="str">
            <v/>
          </cell>
          <cell r="Y196" t="str">
            <v>1021900162</v>
          </cell>
          <cell r="Z196" t="str">
            <v>-</v>
          </cell>
          <cell r="AA196" t="str">
            <v/>
          </cell>
          <cell r="AB196" t="str">
            <v/>
          </cell>
          <cell r="AC196" t="str">
            <v/>
          </cell>
          <cell r="AD196" t="str">
            <v/>
          </cell>
          <cell r="AE196" t="str">
            <v/>
          </cell>
          <cell r="AF196" t="str">
            <v/>
          </cell>
          <cell r="AG196" t="str">
            <v/>
          </cell>
          <cell r="AH196" t="str">
            <v/>
          </cell>
          <cell r="AI196" t="str">
            <v/>
          </cell>
          <cell r="AJ196" t="str">
            <v/>
          </cell>
          <cell r="AK196" t="str">
            <v/>
          </cell>
        </row>
        <row r="197">
          <cell r="A197">
            <v>2010700420</v>
          </cell>
          <cell r="B197" t="str">
            <v>三维扫描仪HandBot-s1</v>
          </cell>
          <cell r="C197" t="str">
            <v/>
          </cell>
          <cell r="D197" t="str">
            <v>台</v>
          </cell>
          <cell r="E197" t="str">
            <v/>
          </cell>
          <cell r="F197" t="str">
            <v>三维扫描仪HandBot-s1</v>
          </cell>
          <cell r="G197" t="str">
            <v/>
          </cell>
          <cell r="H197" t="str">
            <v>三维扫描仪-CN</v>
          </cell>
          <cell r="I197" t="str">
            <v>否</v>
          </cell>
          <cell r="J197" t="str">
            <v>否</v>
          </cell>
          <cell r="K197" t="str">
            <v>深圳积木易搭科技技术有限公司</v>
          </cell>
          <cell r="L197" t="str">
            <v/>
          </cell>
          <cell r="M197" t="str">
            <v>2025-05-13 11:09:45</v>
          </cell>
          <cell r="N197" t="str">
            <v>2025-05-13 11:09:45</v>
          </cell>
          <cell r="O197" t="str">
            <v>单涛</v>
          </cell>
          <cell r="P197" t="str">
            <v/>
          </cell>
          <cell r="Q197" t="str">
            <v/>
          </cell>
          <cell r="R197" t="str">
            <v>否</v>
          </cell>
          <cell r="S197" t="str">
            <v/>
          </cell>
          <cell r="T197" t="str">
            <v/>
          </cell>
          <cell r="U197" t="str">
            <v/>
          </cell>
          <cell r="V197" t="str">
            <v/>
          </cell>
          <cell r="W197" t="str">
            <v/>
          </cell>
          <cell r="X197" t="str">
            <v/>
          </cell>
          <cell r="Y197" t="str">
            <v>2010700420</v>
          </cell>
          <cell r="Z197" t="str">
            <v>HandBot-s1</v>
          </cell>
          <cell r="AA197" t="str">
            <v/>
          </cell>
          <cell r="AB197" t="str">
            <v/>
          </cell>
          <cell r="AC197" t="str">
            <v/>
          </cell>
          <cell r="AD197" t="str">
            <v/>
          </cell>
          <cell r="AE197" t="str">
            <v/>
          </cell>
          <cell r="AF197" t="str">
            <v/>
          </cell>
          <cell r="AG197" t="str">
            <v/>
          </cell>
          <cell r="AH197" t="str">
            <v/>
          </cell>
          <cell r="AI197" t="str">
            <v/>
          </cell>
          <cell r="AJ197" t="str">
            <v/>
          </cell>
          <cell r="AK197" t="str">
            <v/>
          </cell>
        </row>
        <row r="198">
          <cell r="A198">
            <v>1010100187</v>
          </cell>
          <cell r="B198" t="str">
            <v>耳扫下臂</v>
          </cell>
          <cell r="C198" t="str">
            <v/>
          </cell>
          <cell r="D198" t="str">
            <v>个</v>
          </cell>
          <cell r="E198" t="str">
            <v/>
          </cell>
          <cell r="F198" t="str">
            <v>耳扫下臂</v>
          </cell>
          <cell r="G198" t="str">
            <v/>
          </cell>
          <cell r="H198" t="str">
            <v>三维扫描仪备品备件</v>
          </cell>
          <cell r="I198" t="str">
            <v>否</v>
          </cell>
          <cell r="J198" t="str">
            <v>否</v>
          </cell>
          <cell r="K198" t="str">
            <v>深圳积木易搭科技技术有限公司</v>
          </cell>
          <cell r="L198" t="str">
            <v/>
          </cell>
          <cell r="M198" t="str">
            <v>2025-05-06 13:52:28</v>
          </cell>
          <cell r="N198" t="str">
            <v>2025-05-06 13:52:28</v>
          </cell>
          <cell r="O198" t="str">
            <v>单涛</v>
          </cell>
          <cell r="P198" t="str">
            <v/>
          </cell>
          <cell r="Q198" t="str">
            <v/>
          </cell>
          <cell r="R198" t="str">
            <v>否</v>
          </cell>
          <cell r="S198" t="str">
            <v/>
          </cell>
          <cell r="T198" t="str">
            <v/>
          </cell>
          <cell r="U198" t="str">
            <v/>
          </cell>
          <cell r="V198" t="str">
            <v/>
          </cell>
          <cell r="W198" t="str">
            <v/>
          </cell>
          <cell r="X198" t="str">
            <v/>
          </cell>
          <cell r="Y198" t="str">
            <v>1010100187</v>
          </cell>
          <cell r="Z198" t="str">
            <v>-</v>
          </cell>
          <cell r="AA198" t="str">
            <v/>
          </cell>
          <cell r="AB198" t="str">
            <v/>
          </cell>
          <cell r="AC198" t="str">
            <v/>
          </cell>
          <cell r="AD198" t="str">
            <v/>
          </cell>
          <cell r="AE198" t="str">
            <v/>
          </cell>
          <cell r="AF198" t="str">
            <v/>
          </cell>
          <cell r="AG198" t="str">
            <v/>
          </cell>
          <cell r="AH198" t="str">
            <v/>
          </cell>
          <cell r="AI198" t="str">
            <v/>
          </cell>
          <cell r="AJ198" t="str">
            <v/>
          </cell>
          <cell r="AK198" t="str">
            <v/>
          </cell>
        </row>
        <row r="199">
          <cell r="A199">
            <v>1200200047</v>
          </cell>
          <cell r="B199" t="str">
            <v>PCBA</v>
          </cell>
          <cell r="C199" t="str">
            <v/>
          </cell>
          <cell r="D199" t="str">
            <v>个</v>
          </cell>
          <cell r="E199" t="str">
            <v/>
          </cell>
          <cell r="F199" t="str">
            <v>PCBA</v>
          </cell>
          <cell r="G199" t="str">
            <v/>
          </cell>
          <cell r="H199" t="str">
            <v>三维扫描仪备品备件</v>
          </cell>
          <cell r="I199" t="str">
            <v>否</v>
          </cell>
          <cell r="J199" t="str">
            <v>否</v>
          </cell>
          <cell r="K199" t="str">
            <v>深圳积木易搭科技技术有限公司</v>
          </cell>
          <cell r="L199" t="str">
            <v/>
          </cell>
          <cell r="M199" t="str">
            <v>2025-05-06 13:51:07</v>
          </cell>
          <cell r="N199" t="str">
            <v>2025-05-06 13:51:07</v>
          </cell>
          <cell r="O199" t="str">
            <v>单涛</v>
          </cell>
          <cell r="P199" t="str">
            <v/>
          </cell>
          <cell r="Q199" t="str">
            <v/>
          </cell>
          <cell r="R199" t="str">
            <v>否</v>
          </cell>
          <cell r="S199" t="str">
            <v/>
          </cell>
          <cell r="T199" t="str">
            <v/>
          </cell>
          <cell r="U199" t="str">
            <v/>
          </cell>
          <cell r="V199" t="str">
            <v/>
          </cell>
          <cell r="W199" t="str">
            <v/>
          </cell>
          <cell r="X199" t="str">
            <v/>
          </cell>
          <cell r="Y199" t="str">
            <v>1200200047</v>
          </cell>
          <cell r="Z199" t="str">
            <v>-</v>
          </cell>
          <cell r="AA199" t="str">
            <v/>
          </cell>
          <cell r="AB199" t="str">
            <v/>
          </cell>
          <cell r="AC199" t="str">
            <v/>
          </cell>
          <cell r="AD199" t="str">
            <v/>
          </cell>
          <cell r="AE199" t="str">
            <v/>
          </cell>
          <cell r="AF199" t="str">
            <v/>
          </cell>
          <cell r="AG199" t="str">
            <v/>
          </cell>
          <cell r="AH199" t="str">
            <v/>
          </cell>
          <cell r="AI199" t="str">
            <v/>
          </cell>
          <cell r="AJ199" t="str">
            <v/>
          </cell>
          <cell r="AK199" t="str">
            <v/>
          </cell>
        </row>
        <row r="200">
          <cell r="A200">
            <v>1021700003</v>
          </cell>
          <cell r="B200" t="str">
            <v>定位天线</v>
          </cell>
          <cell r="C200" t="str">
            <v/>
          </cell>
          <cell r="D200" t="str">
            <v>个</v>
          </cell>
          <cell r="E200" t="str">
            <v/>
          </cell>
          <cell r="F200" t="str">
            <v>定位天线</v>
          </cell>
          <cell r="G200" t="str">
            <v>3DMakerpro</v>
          </cell>
          <cell r="H200" t="str">
            <v>三维扫描仪备品备件</v>
          </cell>
          <cell r="I200" t="str">
            <v>否</v>
          </cell>
          <cell r="J200" t="str">
            <v>否</v>
          </cell>
          <cell r="K200" t="str">
            <v>深圳积木易搭科技技术有限公司</v>
          </cell>
          <cell r="L200" t="str">
            <v/>
          </cell>
          <cell r="M200" t="str">
            <v>2025-04-25 10:17:30</v>
          </cell>
          <cell r="N200" t="str">
            <v>2025-04-25 10:17:30</v>
          </cell>
          <cell r="O200" t="str">
            <v>单涛</v>
          </cell>
          <cell r="P200" t="str">
            <v/>
          </cell>
          <cell r="Q200" t="str">
            <v/>
          </cell>
          <cell r="R200" t="str">
            <v>否</v>
          </cell>
          <cell r="S200" t="str">
            <v>RTK高精度/四臂螺旋天线 901（38DB）/ SMA内螺内针</v>
          </cell>
          <cell r="T200" t="str">
            <v/>
          </cell>
          <cell r="U200" t="str">
            <v/>
          </cell>
          <cell r="V200" t="str">
            <v/>
          </cell>
          <cell r="W200" t="str">
            <v/>
          </cell>
          <cell r="X200" t="str">
            <v/>
          </cell>
          <cell r="Y200" t="str">
            <v>1021700003</v>
          </cell>
          <cell r="Z200" t="str">
            <v>-</v>
          </cell>
          <cell r="AA200" t="str">
            <v/>
          </cell>
          <cell r="AB200" t="str">
            <v/>
          </cell>
          <cell r="AC200" t="str">
            <v/>
          </cell>
          <cell r="AD200" t="str">
            <v/>
          </cell>
          <cell r="AE200" t="str">
            <v/>
          </cell>
          <cell r="AF200" t="str">
            <v/>
          </cell>
          <cell r="AG200" t="str">
            <v/>
          </cell>
          <cell r="AH200" t="str">
            <v/>
          </cell>
          <cell r="AI200" t="str">
            <v/>
          </cell>
          <cell r="AJ200" t="str">
            <v/>
          </cell>
          <cell r="AK200" t="str">
            <v/>
          </cell>
        </row>
        <row r="201">
          <cell r="A201">
            <v>1080500086</v>
          </cell>
          <cell r="B201" t="str">
            <v>JME1保护套</v>
          </cell>
          <cell r="C201" t="str">
            <v/>
          </cell>
          <cell r="D201" t="str">
            <v>个</v>
          </cell>
          <cell r="E201" t="str">
            <v/>
          </cell>
          <cell r="F201" t="str">
            <v/>
          </cell>
          <cell r="G201" t="str">
            <v>3DMakerpro</v>
          </cell>
          <cell r="H201" t="str">
            <v>三维扫描仪备品备件</v>
          </cell>
          <cell r="I201" t="str">
            <v>否</v>
          </cell>
          <cell r="J201" t="str">
            <v>否</v>
          </cell>
          <cell r="K201" t="str">
            <v>深圳积木易搭科技技术有限公司</v>
          </cell>
          <cell r="L201" t="str">
            <v/>
          </cell>
          <cell r="M201" t="str">
            <v>2025-04-24 14:58:53</v>
          </cell>
          <cell r="N201" t="str">
            <v>2025-04-24 14:58:53</v>
          </cell>
          <cell r="O201" t="str">
            <v>单涛</v>
          </cell>
          <cell r="P201" t="str">
            <v/>
          </cell>
          <cell r="Q201" t="str">
            <v/>
          </cell>
          <cell r="R201" t="str">
            <v>否</v>
          </cell>
          <cell r="S201" t="str">
            <v>EVA红色发泡材质/圆形/直径34mm 高20mm/V1.0 BZ24022704</v>
          </cell>
          <cell r="T201" t="str">
            <v/>
          </cell>
          <cell r="U201" t="str">
            <v/>
          </cell>
          <cell r="V201" t="str">
            <v/>
          </cell>
          <cell r="W201" t="str">
            <v/>
          </cell>
          <cell r="X201" t="str">
            <v/>
          </cell>
          <cell r="Y201" t="str">
            <v>1080500086</v>
          </cell>
          <cell r="Z201" t="str">
            <v>-</v>
          </cell>
          <cell r="AA201" t="str">
            <v/>
          </cell>
          <cell r="AB201" t="str">
            <v/>
          </cell>
          <cell r="AC201" t="str">
            <v/>
          </cell>
          <cell r="AD201" t="str">
            <v/>
          </cell>
          <cell r="AE201" t="str">
            <v/>
          </cell>
          <cell r="AF201" t="str">
            <v/>
          </cell>
          <cell r="AG201" t="str">
            <v/>
          </cell>
          <cell r="AH201" t="str">
            <v/>
          </cell>
          <cell r="AI201" t="str">
            <v/>
          </cell>
          <cell r="AJ201" t="str">
            <v/>
          </cell>
          <cell r="AK201" t="str">
            <v/>
          </cell>
        </row>
        <row r="202">
          <cell r="A202">
            <v>1200200066</v>
          </cell>
          <cell r="B202" t="str">
            <v>Seal投影灯组件</v>
          </cell>
          <cell r="C202" t="str">
            <v/>
          </cell>
          <cell r="D202" t="str">
            <v>个</v>
          </cell>
          <cell r="E202" t="str">
            <v/>
          </cell>
          <cell r="F202" t="str">
            <v>Seal投影灯组件</v>
          </cell>
          <cell r="G202" t="str">
            <v>3DMakerpro</v>
          </cell>
          <cell r="H202" t="str">
            <v>三维扫描仪备品备件</v>
          </cell>
          <cell r="I202" t="str">
            <v>否</v>
          </cell>
          <cell r="J202" t="str">
            <v>否</v>
          </cell>
          <cell r="K202" t="str">
            <v>深圳积木易搭科技技术有限公司</v>
          </cell>
          <cell r="L202" t="str">
            <v/>
          </cell>
          <cell r="M202" t="str">
            <v>2025-04-03 18:17:35</v>
          </cell>
          <cell r="N202" t="str">
            <v>2025-04-03 18:17:35</v>
          </cell>
          <cell r="O202" t="str">
            <v>单涛</v>
          </cell>
          <cell r="P202" t="str">
            <v/>
          </cell>
          <cell r="Q202" t="str">
            <v/>
          </cell>
          <cell r="R202" t="str">
            <v>否</v>
          </cell>
          <cell r="S202" t="str">
            <v/>
          </cell>
          <cell r="T202" t="str">
            <v/>
          </cell>
          <cell r="U202" t="str">
            <v/>
          </cell>
          <cell r="V202" t="str">
            <v/>
          </cell>
          <cell r="W202" t="str">
            <v/>
          </cell>
          <cell r="X202" t="str">
            <v/>
          </cell>
          <cell r="Y202" t="str">
            <v>1200200066</v>
          </cell>
          <cell r="Z202" t="str">
            <v>-</v>
          </cell>
          <cell r="AA202" t="str">
            <v/>
          </cell>
          <cell r="AB202" t="str">
            <v/>
          </cell>
          <cell r="AC202" t="str">
            <v/>
          </cell>
          <cell r="AD202" t="str">
            <v/>
          </cell>
          <cell r="AE202" t="str">
            <v/>
          </cell>
          <cell r="AF202" t="str">
            <v/>
          </cell>
          <cell r="AG202" t="str">
            <v/>
          </cell>
          <cell r="AH202" t="str">
            <v/>
          </cell>
          <cell r="AI202" t="str">
            <v/>
          </cell>
          <cell r="AJ202" t="str">
            <v/>
          </cell>
          <cell r="AK202" t="str">
            <v/>
          </cell>
        </row>
        <row r="203">
          <cell r="A203">
            <v>15626062125</v>
          </cell>
          <cell r="B203" t="str">
            <v>PCBA</v>
          </cell>
          <cell r="C203" t="str">
            <v/>
          </cell>
          <cell r="D203" t="str">
            <v>个</v>
          </cell>
          <cell r="E203" t="str">
            <v/>
          </cell>
          <cell r="F203" t="str">
            <v>PCBA</v>
          </cell>
          <cell r="G203" t="str">
            <v>3DMakerpro</v>
          </cell>
          <cell r="H203" t="str">
            <v>三维扫描仪备品备件</v>
          </cell>
          <cell r="I203" t="str">
            <v>否</v>
          </cell>
          <cell r="J203" t="str">
            <v>否</v>
          </cell>
          <cell r="K203" t="str">
            <v>深圳积木易搭科技技术有限公司</v>
          </cell>
          <cell r="L203" t="str">
            <v/>
          </cell>
          <cell r="M203" t="str">
            <v>2025-03-26 18:28:09</v>
          </cell>
          <cell r="N203" t="str">
            <v>2025-03-26 18:28:09</v>
          </cell>
          <cell r="O203" t="str">
            <v>单涛</v>
          </cell>
          <cell r="P203" t="str">
            <v/>
          </cell>
          <cell r="Q203" t="str">
            <v/>
          </cell>
          <cell r="R203" t="str">
            <v>否</v>
          </cell>
          <cell r="S203" t="str">
            <v/>
          </cell>
          <cell r="T203" t="str">
            <v/>
          </cell>
          <cell r="U203" t="str">
            <v/>
          </cell>
          <cell r="V203" t="str">
            <v/>
          </cell>
          <cell r="W203" t="str">
            <v/>
          </cell>
          <cell r="X203" t="str">
            <v/>
          </cell>
          <cell r="Y203" t="str">
            <v>15626062125</v>
          </cell>
          <cell r="Z203" t="str">
            <v>-</v>
          </cell>
          <cell r="AA203" t="str">
            <v/>
          </cell>
          <cell r="AB203" t="str">
            <v/>
          </cell>
          <cell r="AC203" t="str">
            <v/>
          </cell>
          <cell r="AD203" t="str">
            <v/>
          </cell>
          <cell r="AE203" t="str">
            <v/>
          </cell>
          <cell r="AF203" t="str">
            <v/>
          </cell>
          <cell r="AG203" t="str">
            <v/>
          </cell>
          <cell r="AH203" t="str">
            <v/>
          </cell>
          <cell r="AI203" t="str">
            <v/>
          </cell>
          <cell r="AJ203" t="str">
            <v/>
          </cell>
          <cell r="AK203" t="str">
            <v/>
          </cell>
        </row>
        <row r="204">
          <cell r="A204">
            <v>1200200007</v>
          </cell>
          <cell r="B204" t="str">
            <v>Magic Swift Plus 投影灯组件</v>
          </cell>
          <cell r="C204" t="str">
            <v/>
          </cell>
          <cell r="D204" t="str">
            <v>个</v>
          </cell>
          <cell r="E204" t="str">
            <v/>
          </cell>
          <cell r="F204" t="str">
            <v>Magic Swift Plus 投影灯组件</v>
          </cell>
          <cell r="G204" t="str">
            <v>3DMakerpro</v>
          </cell>
          <cell r="H204" t="str">
            <v>三维扫描仪备品备件</v>
          </cell>
          <cell r="I204" t="str">
            <v>否</v>
          </cell>
          <cell r="J204" t="str">
            <v>否</v>
          </cell>
          <cell r="K204" t="str">
            <v>深圳积木易搭科技技术有限公司</v>
          </cell>
          <cell r="L204" t="str">
            <v/>
          </cell>
          <cell r="M204" t="str">
            <v>2025-03-21 17:13:18</v>
          </cell>
          <cell r="N204" t="str">
            <v>2025-03-21 17:13:18</v>
          </cell>
          <cell r="O204" t="str">
            <v>单涛</v>
          </cell>
          <cell r="P204" t="str">
            <v/>
          </cell>
          <cell r="Q204" t="str">
            <v/>
          </cell>
          <cell r="R204" t="str">
            <v>否</v>
          </cell>
          <cell r="S204" t="str">
            <v/>
          </cell>
          <cell r="T204" t="str">
            <v/>
          </cell>
          <cell r="U204" t="str">
            <v/>
          </cell>
          <cell r="V204" t="str">
            <v/>
          </cell>
          <cell r="W204" t="str">
            <v/>
          </cell>
          <cell r="X204" t="str">
            <v/>
          </cell>
          <cell r="Y204" t="str">
            <v>1200200007</v>
          </cell>
          <cell r="Z204" t="str">
            <v>-</v>
          </cell>
          <cell r="AA204" t="str">
            <v/>
          </cell>
          <cell r="AB204" t="str">
            <v/>
          </cell>
          <cell r="AC204" t="str">
            <v/>
          </cell>
          <cell r="AD204" t="str">
            <v/>
          </cell>
          <cell r="AE204" t="str">
            <v/>
          </cell>
          <cell r="AF204" t="str">
            <v/>
          </cell>
          <cell r="AG204" t="str">
            <v/>
          </cell>
          <cell r="AH204" t="str">
            <v/>
          </cell>
          <cell r="AI204" t="str">
            <v/>
          </cell>
          <cell r="AJ204" t="str">
            <v/>
          </cell>
          <cell r="AK204" t="str">
            <v/>
          </cell>
        </row>
        <row r="205">
          <cell r="A205" t="str">
            <v>1200200060B</v>
          </cell>
          <cell r="B205" t="str">
            <v>PCBA</v>
          </cell>
          <cell r="C205" t="str">
            <v/>
          </cell>
          <cell r="D205" t="str">
            <v>个</v>
          </cell>
          <cell r="E205" t="str">
            <v/>
          </cell>
          <cell r="F205" t="str">
            <v>PCBA</v>
          </cell>
          <cell r="G205" t="str">
            <v>3DMakerpro</v>
          </cell>
          <cell r="H205" t="str">
            <v>三维扫描仪备品备件</v>
          </cell>
          <cell r="I205" t="str">
            <v>否</v>
          </cell>
          <cell r="J205" t="str">
            <v>否</v>
          </cell>
          <cell r="K205" t="str">
            <v>深圳积木易搭科技技术有限公司</v>
          </cell>
          <cell r="L205" t="str">
            <v/>
          </cell>
          <cell r="M205" t="str">
            <v>2025-03-13 10:10:38</v>
          </cell>
          <cell r="N205" t="str">
            <v>2025-03-13 10:10:38</v>
          </cell>
          <cell r="O205" t="str">
            <v>单涛</v>
          </cell>
          <cell r="P205" t="str">
            <v/>
          </cell>
          <cell r="Q205" t="str">
            <v/>
          </cell>
          <cell r="R205" t="str">
            <v>否</v>
          </cell>
          <cell r="S205" t="str">
            <v/>
          </cell>
          <cell r="T205" t="str">
            <v/>
          </cell>
          <cell r="U205" t="str">
            <v/>
          </cell>
          <cell r="V205" t="str">
            <v/>
          </cell>
          <cell r="W205" t="str">
            <v/>
          </cell>
          <cell r="X205" t="str">
            <v/>
          </cell>
          <cell r="Y205" t="str">
            <v>1200200060B</v>
          </cell>
          <cell r="Z205" t="str">
            <v>-</v>
          </cell>
          <cell r="AA205" t="str">
            <v/>
          </cell>
          <cell r="AB205" t="str">
            <v/>
          </cell>
          <cell r="AC205" t="str">
            <v/>
          </cell>
          <cell r="AD205" t="str">
            <v/>
          </cell>
          <cell r="AE205" t="str">
            <v/>
          </cell>
          <cell r="AF205" t="str">
            <v/>
          </cell>
          <cell r="AG205" t="str">
            <v/>
          </cell>
          <cell r="AH205" t="str">
            <v/>
          </cell>
          <cell r="AI205" t="str">
            <v/>
          </cell>
          <cell r="AJ205" t="str">
            <v/>
          </cell>
          <cell r="AK205" t="str">
            <v/>
          </cell>
        </row>
        <row r="206">
          <cell r="A206">
            <v>1010100148</v>
          </cell>
          <cell r="B206" t="str">
            <v>耳扫底座</v>
          </cell>
          <cell r="C206" t="str">
            <v/>
          </cell>
          <cell r="D206" t="str">
            <v>个</v>
          </cell>
          <cell r="E206" t="str">
            <v/>
          </cell>
          <cell r="F206" t="str">
            <v>耳扫底座</v>
          </cell>
          <cell r="G206" t="str">
            <v>3DMakerpro</v>
          </cell>
          <cell r="H206" t="str">
            <v>三维扫描仪备品备件</v>
          </cell>
          <cell r="I206" t="str">
            <v>否</v>
          </cell>
          <cell r="J206" t="str">
            <v>否</v>
          </cell>
          <cell r="K206" t="str">
            <v>深圳积木易搭科技技术有限公司</v>
          </cell>
          <cell r="L206" t="str">
            <v/>
          </cell>
          <cell r="M206" t="str">
            <v>2025-03-13 10:05:45</v>
          </cell>
          <cell r="N206" t="str">
            <v>2025-03-13 10:05:45</v>
          </cell>
          <cell r="O206" t="str">
            <v>单涛</v>
          </cell>
          <cell r="P206" t="str">
            <v/>
          </cell>
          <cell r="Q206" t="str">
            <v/>
          </cell>
          <cell r="R206" t="str">
            <v>否</v>
          </cell>
          <cell r="S206" t="str">
            <v/>
          </cell>
          <cell r="T206" t="str">
            <v/>
          </cell>
          <cell r="U206" t="str">
            <v/>
          </cell>
          <cell r="V206" t="str">
            <v/>
          </cell>
          <cell r="W206" t="str">
            <v/>
          </cell>
          <cell r="X206" t="str">
            <v/>
          </cell>
          <cell r="Y206" t="str">
            <v>1010100148</v>
          </cell>
          <cell r="Z206" t="str">
            <v>-</v>
          </cell>
          <cell r="AA206" t="str">
            <v/>
          </cell>
          <cell r="AB206" t="str">
            <v/>
          </cell>
          <cell r="AC206" t="str">
            <v/>
          </cell>
          <cell r="AD206" t="str">
            <v/>
          </cell>
          <cell r="AE206" t="str">
            <v/>
          </cell>
          <cell r="AF206" t="str">
            <v/>
          </cell>
          <cell r="AG206" t="str">
            <v/>
          </cell>
          <cell r="AH206" t="str">
            <v/>
          </cell>
          <cell r="AI206" t="str">
            <v/>
          </cell>
          <cell r="AJ206" t="str">
            <v/>
          </cell>
          <cell r="AK206" t="str">
            <v/>
          </cell>
        </row>
        <row r="207">
          <cell r="A207">
            <v>1200200061</v>
          </cell>
          <cell r="B207" t="str">
            <v>PCBA</v>
          </cell>
          <cell r="C207" t="str">
            <v/>
          </cell>
          <cell r="D207" t="str">
            <v>个</v>
          </cell>
          <cell r="E207" t="str">
            <v/>
          </cell>
          <cell r="F207" t="str">
            <v>PCBA</v>
          </cell>
          <cell r="G207" t="str">
            <v>3DMakerpro</v>
          </cell>
          <cell r="H207" t="str">
            <v>三维扫描仪备品备件</v>
          </cell>
          <cell r="I207" t="str">
            <v>否</v>
          </cell>
          <cell r="J207" t="str">
            <v>否</v>
          </cell>
          <cell r="K207" t="str">
            <v>深圳积木易搭科技技术有限公司</v>
          </cell>
          <cell r="L207" t="str">
            <v/>
          </cell>
          <cell r="M207" t="str">
            <v>2025-03-13 10:04:41</v>
          </cell>
          <cell r="N207" t="str">
            <v>2025-03-13 10:04:41</v>
          </cell>
          <cell r="O207" t="str">
            <v>单涛</v>
          </cell>
          <cell r="P207" t="str">
            <v/>
          </cell>
          <cell r="Q207" t="str">
            <v/>
          </cell>
          <cell r="R207" t="str">
            <v>否</v>
          </cell>
          <cell r="S207" t="str">
            <v/>
          </cell>
          <cell r="T207" t="str">
            <v/>
          </cell>
          <cell r="U207" t="str">
            <v/>
          </cell>
          <cell r="V207" t="str">
            <v/>
          </cell>
          <cell r="W207" t="str">
            <v/>
          </cell>
          <cell r="X207" t="str">
            <v/>
          </cell>
          <cell r="Y207" t="str">
            <v>1200200061</v>
          </cell>
          <cell r="Z207" t="str">
            <v>-</v>
          </cell>
          <cell r="AA207" t="str">
            <v/>
          </cell>
          <cell r="AB207" t="str">
            <v/>
          </cell>
          <cell r="AC207" t="str">
            <v/>
          </cell>
          <cell r="AD207" t="str">
            <v/>
          </cell>
          <cell r="AE207" t="str">
            <v/>
          </cell>
          <cell r="AF207" t="str">
            <v/>
          </cell>
          <cell r="AG207" t="str">
            <v/>
          </cell>
          <cell r="AH207" t="str">
            <v/>
          </cell>
          <cell r="AI207" t="str">
            <v/>
          </cell>
          <cell r="AJ207" t="str">
            <v/>
          </cell>
          <cell r="AK207" t="str">
            <v/>
          </cell>
        </row>
        <row r="208">
          <cell r="A208">
            <v>1080500072</v>
          </cell>
          <cell r="B208" t="str">
            <v>双轴转台包装内衬3</v>
          </cell>
          <cell r="C208" t="str">
            <v/>
          </cell>
          <cell r="D208" t="str">
            <v>个</v>
          </cell>
          <cell r="E208" t="str">
            <v/>
          </cell>
          <cell r="F208" t="str">
            <v>双轴转台包装内衬3</v>
          </cell>
          <cell r="G208" t="str">
            <v>3DMakerpro</v>
          </cell>
          <cell r="H208" t="str">
            <v>其它物料</v>
          </cell>
          <cell r="I208" t="str">
            <v>否</v>
          </cell>
          <cell r="J208" t="str">
            <v>否</v>
          </cell>
          <cell r="K208" t="str">
            <v>深圳积木易搭科技技术有限公司</v>
          </cell>
          <cell r="L208" t="str">
            <v/>
          </cell>
          <cell r="M208" t="str">
            <v>2025-03-04 14:19:51</v>
          </cell>
          <cell r="N208" t="str">
            <v>2025-03-04 14:19:51</v>
          </cell>
          <cell r="O208" t="str">
            <v>单涛</v>
          </cell>
          <cell r="P208" t="str">
            <v/>
          </cell>
          <cell r="Q208" t="str">
            <v/>
          </cell>
          <cell r="R208" t="str">
            <v>否</v>
          </cell>
          <cell r="S208" t="str">
            <v/>
          </cell>
          <cell r="T208" t="str">
            <v/>
          </cell>
          <cell r="U208" t="str">
            <v/>
          </cell>
          <cell r="V208" t="str">
            <v/>
          </cell>
          <cell r="W208" t="str">
            <v/>
          </cell>
          <cell r="X208" t="str">
            <v/>
          </cell>
          <cell r="Y208" t="str">
            <v>1080500072</v>
          </cell>
          <cell r="Z208" t="str">
            <v>-</v>
          </cell>
          <cell r="AA208" t="str">
            <v/>
          </cell>
          <cell r="AB208" t="str">
            <v/>
          </cell>
          <cell r="AC208" t="str">
            <v/>
          </cell>
          <cell r="AD208" t="str">
            <v/>
          </cell>
          <cell r="AE208" t="str">
            <v/>
          </cell>
          <cell r="AF208" t="str">
            <v/>
          </cell>
          <cell r="AG208" t="str">
            <v/>
          </cell>
          <cell r="AH208" t="str">
            <v/>
          </cell>
          <cell r="AI208" t="str">
            <v/>
          </cell>
          <cell r="AJ208" t="str">
            <v/>
          </cell>
          <cell r="AK208" t="str">
            <v/>
          </cell>
        </row>
        <row r="209">
          <cell r="A209">
            <v>1080500071</v>
          </cell>
          <cell r="B209" t="str">
            <v>双轴转台包装内衬2</v>
          </cell>
          <cell r="C209" t="str">
            <v/>
          </cell>
          <cell r="D209" t="str">
            <v>个</v>
          </cell>
          <cell r="E209" t="str">
            <v/>
          </cell>
          <cell r="F209" t="str">
            <v>双轴转台包装内衬2</v>
          </cell>
          <cell r="G209" t="str">
            <v>3DMakerpro</v>
          </cell>
          <cell r="H209" t="str">
            <v>其它物料</v>
          </cell>
          <cell r="I209" t="str">
            <v>否</v>
          </cell>
          <cell r="J209" t="str">
            <v>否</v>
          </cell>
          <cell r="K209" t="str">
            <v>深圳积木易搭科技技术有限公司</v>
          </cell>
          <cell r="L209" t="str">
            <v/>
          </cell>
          <cell r="M209" t="str">
            <v>2025-03-04 14:18:36</v>
          </cell>
          <cell r="N209" t="str">
            <v>2025-03-04 14:18:36</v>
          </cell>
          <cell r="O209" t="str">
            <v>单涛</v>
          </cell>
          <cell r="P209" t="str">
            <v/>
          </cell>
          <cell r="Q209" t="str">
            <v/>
          </cell>
          <cell r="R209" t="str">
            <v>否</v>
          </cell>
          <cell r="S209" t="str">
            <v/>
          </cell>
          <cell r="T209" t="str">
            <v/>
          </cell>
          <cell r="U209" t="str">
            <v/>
          </cell>
          <cell r="V209" t="str">
            <v/>
          </cell>
          <cell r="W209" t="str">
            <v/>
          </cell>
          <cell r="X209" t="str">
            <v/>
          </cell>
          <cell r="Y209" t="str">
            <v>1080500071</v>
          </cell>
          <cell r="Z209" t="str">
            <v>-</v>
          </cell>
          <cell r="AA209" t="str">
            <v/>
          </cell>
          <cell r="AB209" t="str">
            <v/>
          </cell>
          <cell r="AC209" t="str">
            <v/>
          </cell>
          <cell r="AD209" t="str">
            <v/>
          </cell>
          <cell r="AE209" t="str">
            <v/>
          </cell>
          <cell r="AF209" t="str">
            <v/>
          </cell>
          <cell r="AG209" t="str">
            <v/>
          </cell>
          <cell r="AH209" t="str">
            <v/>
          </cell>
          <cell r="AI209" t="str">
            <v/>
          </cell>
          <cell r="AJ209" t="str">
            <v/>
          </cell>
          <cell r="AK209" t="str">
            <v/>
          </cell>
        </row>
        <row r="210">
          <cell r="A210">
            <v>1080500070</v>
          </cell>
          <cell r="B210" t="str">
            <v>双轴转台包装内衬1</v>
          </cell>
          <cell r="C210" t="str">
            <v/>
          </cell>
          <cell r="D210" t="str">
            <v>个</v>
          </cell>
          <cell r="E210" t="str">
            <v/>
          </cell>
          <cell r="F210" t="str">
            <v>双轴转台包装内衬1</v>
          </cell>
          <cell r="G210" t="str">
            <v>3DMakerpro</v>
          </cell>
          <cell r="H210" t="str">
            <v>其它物料</v>
          </cell>
          <cell r="I210" t="str">
            <v>否</v>
          </cell>
          <cell r="J210" t="str">
            <v>否</v>
          </cell>
          <cell r="K210" t="str">
            <v>深圳积木易搭科技技术有限公司</v>
          </cell>
          <cell r="L210" t="str">
            <v/>
          </cell>
          <cell r="M210" t="str">
            <v>2025-03-04 14:16:26</v>
          </cell>
          <cell r="N210" t="str">
            <v>2025-03-04 14:17:32</v>
          </cell>
          <cell r="O210" t="str">
            <v>单涛</v>
          </cell>
          <cell r="P210" t="str">
            <v>单涛</v>
          </cell>
          <cell r="Q210" t="str">
            <v/>
          </cell>
          <cell r="R210" t="str">
            <v>否</v>
          </cell>
          <cell r="S210" t="str">
            <v/>
          </cell>
          <cell r="T210" t="str">
            <v/>
          </cell>
          <cell r="U210" t="str">
            <v/>
          </cell>
          <cell r="V210" t="str">
            <v/>
          </cell>
          <cell r="W210" t="str">
            <v/>
          </cell>
          <cell r="X210" t="str">
            <v/>
          </cell>
          <cell r="Y210" t="str">
            <v>1080500070</v>
          </cell>
          <cell r="Z210" t="str">
            <v>-</v>
          </cell>
          <cell r="AA210" t="str">
            <v/>
          </cell>
          <cell r="AB210" t="str">
            <v/>
          </cell>
          <cell r="AC210" t="str">
            <v/>
          </cell>
          <cell r="AD210" t="str">
            <v/>
          </cell>
          <cell r="AE210" t="str">
            <v/>
          </cell>
          <cell r="AF210" t="str">
            <v/>
          </cell>
          <cell r="AG210" t="str">
            <v/>
          </cell>
          <cell r="AH210" t="str">
            <v/>
          </cell>
          <cell r="AI210" t="str">
            <v/>
          </cell>
          <cell r="AJ210" t="str">
            <v/>
          </cell>
          <cell r="AK210" t="str">
            <v/>
          </cell>
        </row>
        <row r="211">
          <cell r="A211">
            <v>1080400048</v>
          </cell>
          <cell r="B211" t="str">
            <v>双轴转台包装盒</v>
          </cell>
          <cell r="C211" t="str">
            <v/>
          </cell>
          <cell r="D211" t="str">
            <v>个</v>
          </cell>
          <cell r="E211" t="str">
            <v/>
          </cell>
          <cell r="F211" t="str">
            <v>双轴转台包装盒</v>
          </cell>
          <cell r="G211" t="str">
            <v>3DMakerpro</v>
          </cell>
          <cell r="H211" t="str">
            <v>其它物料</v>
          </cell>
          <cell r="I211" t="str">
            <v>否</v>
          </cell>
          <cell r="J211" t="str">
            <v>否</v>
          </cell>
          <cell r="K211" t="str">
            <v>深圳积木易搭科技技术有限公司</v>
          </cell>
          <cell r="L211" t="str">
            <v/>
          </cell>
          <cell r="M211" t="str">
            <v>2025-03-04 14:15:07</v>
          </cell>
          <cell r="N211" t="str">
            <v>2025-03-04 14:17:05</v>
          </cell>
          <cell r="O211" t="str">
            <v>单涛</v>
          </cell>
          <cell r="P211" t="str">
            <v>单涛</v>
          </cell>
          <cell r="Q211" t="str">
            <v/>
          </cell>
          <cell r="R211" t="str">
            <v>否</v>
          </cell>
          <cell r="S211" t="str">
            <v/>
          </cell>
          <cell r="T211" t="str">
            <v/>
          </cell>
          <cell r="U211" t="str">
            <v/>
          </cell>
          <cell r="V211" t="str">
            <v/>
          </cell>
          <cell r="W211" t="str">
            <v/>
          </cell>
          <cell r="X211" t="str">
            <v/>
          </cell>
          <cell r="Y211" t="str">
            <v>1080400048</v>
          </cell>
          <cell r="Z211" t="str">
            <v>-</v>
          </cell>
          <cell r="AA211" t="str">
            <v/>
          </cell>
          <cell r="AB211" t="str">
            <v/>
          </cell>
          <cell r="AC211" t="str">
            <v/>
          </cell>
          <cell r="AD211" t="str">
            <v/>
          </cell>
          <cell r="AE211" t="str">
            <v/>
          </cell>
          <cell r="AF211" t="str">
            <v/>
          </cell>
          <cell r="AG211" t="str">
            <v/>
          </cell>
          <cell r="AH211" t="str">
            <v/>
          </cell>
          <cell r="AI211" t="str">
            <v/>
          </cell>
          <cell r="AJ211" t="str">
            <v/>
          </cell>
          <cell r="AK211" t="str">
            <v/>
          </cell>
        </row>
        <row r="212">
          <cell r="A212">
            <v>1200100065</v>
          </cell>
          <cell r="B212" t="str">
            <v>Seal双轴转台</v>
          </cell>
          <cell r="C212" t="str">
            <v/>
          </cell>
          <cell r="D212" t="str">
            <v>台</v>
          </cell>
          <cell r="E212" t="str">
            <v/>
          </cell>
          <cell r="F212" t="str">
            <v>Seal双轴转台</v>
          </cell>
          <cell r="G212" t="str">
            <v>3DMakerpro</v>
          </cell>
          <cell r="H212" t="str">
            <v>三维扫描仪备品备件</v>
          </cell>
          <cell r="I212" t="str">
            <v>否</v>
          </cell>
          <cell r="J212" t="str">
            <v>否</v>
          </cell>
          <cell r="K212" t="str">
            <v>深圳积木易搭科技技术有限公司</v>
          </cell>
          <cell r="L212" t="str">
            <v/>
          </cell>
          <cell r="M212" t="str">
            <v>2025-03-04 14:13:57</v>
          </cell>
          <cell r="N212" t="str">
            <v>2025-03-04 14:13:57</v>
          </cell>
          <cell r="O212" t="str">
            <v>单涛</v>
          </cell>
          <cell r="P212" t="str">
            <v/>
          </cell>
          <cell r="Q212" t="str">
            <v/>
          </cell>
          <cell r="R212" t="str">
            <v>否</v>
          </cell>
          <cell r="S212" t="str">
            <v/>
          </cell>
          <cell r="T212" t="str">
            <v/>
          </cell>
          <cell r="U212" t="str">
            <v/>
          </cell>
          <cell r="V212" t="str">
            <v/>
          </cell>
          <cell r="W212" t="str">
            <v/>
          </cell>
          <cell r="X212" t="str">
            <v/>
          </cell>
          <cell r="Y212" t="str">
            <v>1200100065</v>
          </cell>
          <cell r="Z212" t="str">
            <v>-</v>
          </cell>
          <cell r="AA212" t="str">
            <v/>
          </cell>
          <cell r="AB212" t="str">
            <v/>
          </cell>
          <cell r="AC212" t="str">
            <v/>
          </cell>
          <cell r="AD212" t="str">
            <v/>
          </cell>
          <cell r="AE212" t="str">
            <v/>
          </cell>
          <cell r="AF212" t="str">
            <v/>
          </cell>
          <cell r="AG212" t="str">
            <v/>
          </cell>
          <cell r="AH212" t="str">
            <v/>
          </cell>
          <cell r="AI212" t="str">
            <v/>
          </cell>
          <cell r="AJ212" t="str">
            <v/>
          </cell>
          <cell r="AK212" t="str">
            <v/>
          </cell>
        </row>
        <row r="213">
          <cell r="A213">
            <v>1200100058</v>
          </cell>
          <cell r="B213" t="str">
            <v>Magic Swift Plus整机(黑白)(2023版)</v>
          </cell>
          <cell r="C213" t="str">
            <v>3D Scanner Magic Swift Plus</v>
          </cell>
          <cell r="D213" t="str">
            <v>台</v>
          </cell>
          <cell r="E213" t="str">
            <v/>
          </cell>
          <cell r="F213" t="str">
            <v>Magic Swift Plus整机(黑白)(2023版)</v>
          </cell>
          <cell r="G213" t="str">
            <v>3DMakerpro</v>
          </cell>
          <cell r="H213" t="str">
            <v>三维扫描仪-JMSM</v>
          </cell>
          <cell r="I213" t="str">
            <v>否</v>
          </cell>
          <cell r="J213" t="str">
            <v>否</v>
          </cell>
          <cell r="K213" t="str">
            <v>深圳积木易搭科技技术有限公司</v>
          </cell>
          <cell r="L213" t="str">
            <v/>
          </cell>
          <cell r="M213" t="str">
            <v>2025-02-26 16:56:20</v>
          </cell>
          <cell r="N213" t="str">
            <v>2025-02-26 16:56:20</v>
          </cell>
          <cell r="O213" t="str">
            <v>单涛</v>
          </cell>
          <cell r="P213" t="str">
            <v/>
          </cell>
          <cell r="Q213" t="str">
            <v/>
          </cell>
          <cell r="R213" t="str">
            <v>否</v>
          </cell>
          <cell r="S213" t="str">
            <v/>
          </cell>
          <cell r="T213" t="str">
            <v/>
          </cell>
          <cell r="U213" t="str">
            <v/>
          </cell>
          <cell r="V213" t="str">
            <v/>
          </cell>
          <cell r="W213" t="str">
            <v/>
          </cell>
          <cell r="X213" t="str">
            <v/>
          </cell>
          <cell r="Y213" t="str">
            <v>1200100058</v>
          </cell>
          <cell r="Z213" t="str">
            <v>JMSM</v>
          </cell>
          <cell r="AA213" t="str">
            <v/>
          </cell>
          <cell r="AB213" t="str">
            <v/>
          </cell>
          <cell r="AC213" t="str">
            <v/>
          </cell>
          <cell r="AD213" t="str">
            <v/>
          </cell>
          <cell r="AE213" t="str">
            <v/>
          </cell>
          <cell r="AF213" t="str">
            <v/>
          </cell>
          <cell r="AG213" t="str">
            <v/>
          </cell>
          <cell r="AH213" t="str">
            <v/>
          </cell>
          <cell r="AI213" t="str">
            <v/>
          </cell>
          <cell r="AJ213" t="str">
            <v/>
          </cell>
          <cell r="AK213" t="str">
            <v/>
          </cell>
        </row>
        <row r="214">
          <cell r="A214">
            <v>1050500017</v>
          </cell>
          <cell r="B214" t="str">
            <v>MP80假电池</v>
          </cell>
          <cell r="C214" t="str">
            <v/>
          </cell>
          <cell r="D214" t="str">
            <v>个</v>
          </cell>
          <cell r="E214" t="str">
            <v/>
          </cell>
          <cell r="F214" t="str">
            <v>MP80假电池</v>
          </cell>
          <cell r="G214" t="str">
            <v/>
          </cell>
          <cell r="H214" t="str">
            <v>三维扫描仪备品备件</v>
          </cell>
          <cell r="I214" t="str">
            <v>否</v>
          </cell>
          <cell r="J214" t="str">
            <v>否</v>
          </cell>
          <cell r="K214" t="str">
            <v>深圳积木易搭科技技术有限公司</v>
          </cell>
          <cell r="L214" t="str">
            <v/>
          </cell>
          <cell r="M214" t="str">
            <v>2025-02-18 16:51:39</v>
          </cell>
          <cell r="N214" t="str">
            <v>2025-02-18 16:51:39</v>
          </cell>
          <cell r="O214" t="str">
            <v>单涛</v>
          </cell>
          <cell r="P214" t="str">
            <v/>
          </cell>
          <cell r="Q214" t="str">
            <v/>
          </cell>
          <cell r="R214" t="str">
            <v>否</v>
          </cell>
          <cell r="S214" t="str">
            <v/>
          </cell>
          <cell r="T214" t="str">
            <v/>
          </cell>
          <cell r="U214" t="str">
            <v/>
          </cell>
          <cell r="V214" t="str">
            <v/>
          </cell>
          <cell r="W214" t="str">
            <v/>
          </cell>
          <cell r="X214" t="str">
            <v/>
          </cell>
          <cell r="Y214" t="str">
            <v>1050500017</v>
          </cell>
          <cell r="Z214" t="str">
            <v>-</v>
          </cell>
          <cell r="AA214" t="str">
            <v/>
          </cell>
          <cell r="AB214" t="str">
            <v/>
          </cell>
          <cell r="AC214" t="str">
            <v/>
          </cell>
          <cell r="AD214" t="str">
            <v/>
          </cell>
          <cell r="AE214" t="str">
            <v/>
          </cell>
          <cell r="AF214" t="str">
            <v/>
          </cell>
          <cell r="AG214" t="str">
            <v/>
          </cell>
          <cell r="AH214" t="str">
            <v/>
          </cell>
          <cell r="AI214" t="str">
            <v/>
          </cell>
          <cell r="AJ214" t="str">
            <v/>
          </cell>
          <cell r="AK214" t="str">
            <v/>
          </cell>
        </row>
        <row r="215">
          <cell r="A215">
            <v>1030700033</v>
          </cell>
          <cell r="B215" t="str">
            <v>MP80单反镜头</v>
          </cell>
          <cell r="C215" t="str">
            <v/>
          </cell>
          <cell r="D215" t="str">
            <v>个</v>
          </cell>
          <cell r="E215" t="str">
            <v/>
          </cell>
          <cell r="F215" t="str">
            <v>MP80单反镜头</v>
          </cell>
          <cell r="G215" t="str">
            <v/>
          </cell>
          <cell r="H215" t="str">
            <v>三维扫描仪备品备件</v>
          </cell>
          <cell r="I215" t="str">
            <v>否</v>
          </cell>
          <cell r="J215" t="str">
            <v>否</v>
          </cell>
          <cell r="K215" t="str">
            <v>深圳积木易搭科技技术有限公司</v>
          </cell>
          <cell r="L215" t="str">
            <v/>
          </cell>
          <cell r="M215" t="str">
            <v>2025-02-18 16:50:22</v>
          </cell>
          <cell r="N215" t="str">
            <v>2025-02-18 16:55:10</v>
          </cell>
          <cell r="O215" t="str">
            <v>单涛</v>
          </cell>
          <cell r="P215" t="str">
            <v>单涛</v>
          </cell>
          <cell r="Q215" t="str">
            <v/>
          </cell>
          <cell r="R215" t="str">
            <v>否</v>
          </cell>
          <cell r="S215" t="str">
            <v/>
          </cell>
          <cell r="T215" t="str">
            <v/>
          </cell>
          <cell r="U215" t="str">
            <v/>
          </cell>
          <cell r="V215" t="str">
            <v/>
          </cell>
          <cell r="W215" t="str">
            <v/>
          </cell>
          <cell r="X215" t="str">
            <v/>
          </cell>
          <cell r="Y215" t="str">
            <v>1030700033</v>
          </cell>
          <cell r="Z215" t="str">
            <v>-</v>
          </cell>
          <cell r="AA215" t="str">
            <v/>
          </cell>
          <cell r="AB215" t="str">
            <v/>
          </cell>
          <cell r="AC215" t="str">
            <v/>
          </cell>
          <cell r="AD215" t="str">
            <v/>
          </cell>
          <cell r="AE215" t="str">
            <v/>
          </cell>
          <cell r="AF215" t="str">
            <v/>
          </cell>
          <cell r="AG215" t="str">
            <v/>
          </cell>
          <cell r="AH215" t="str">
            <v/>
          </cell>
          <cell r="AI215" t="str">
            <v/>
          </cell>
          <cell r="AJ215" t="str">
            <v/>
          </cell>
          <cell r="AK215" t="str">
            <v/>
          </cell>
        </row>
        <row r="216">
          <cell r="A216">
            <v>1020900010</v>
          </cell>
          <cell r="B216" t="str">
            <v>MP80单反相机</v>
          </cell>
          <cell r="C216" t="str">
            <v/>
          </cell>
          <cell r="D216" t="str">
            <v>台</v>
          </cell>
          <cell r="E216" t="str">
            <v/>
          </cell>
          <cell r="F216" t="str">
            <v>MP80单反相机</v>
          </cell>
          <cell r="G216" t="str">
            <v/>
          </cell>
          <cell r="H216" t="str">
            <v>三维扫描仪备品备件</v>
          </cell>
          <cell r="I216" t="str">
            <v>否</v>
          </cell>
          <cell r="J216" t="str">
            <v>否</v>
          </cell>
          <cell r="K216" t="str">
            <v>深圳积木易搭科技技术有限公司</v>
          </cell>
          <cell r="L216" t="str">
            <v/>
          </cell>
          <cell r="M216" t="str">
            <v>2025-02-18 16:47:44</v>
          </cell>
          <cell r="N216" t="str">
            <v>2025-02-18 16:54:32</v>
          </cell>
          <cell r="O216" t="str">
            <v>单涛</v>
          </cell>
          <cell r="P216" t="str">
            <v>单涛</v>
          </cell>
          <cell r="Q216" t="str">
            <v/>
          </cell>
          <cell r="R216" t="str">
            <v>否</v>
          </cell>
          <cell r="S216" t="str">
            <v/>
          </cell>
          <cell r="T216" t="str">
            <v/>
          </cell>
          <cell r="U216" t="str">
            <v/>
          </cell>
          <cell r="V216" t="str">
            <v/>
          </cell>
          <cell r="W216" t="str">
            <v/>
          </cell>
          <cell r="X216" t="str">
            <v/>
          </cell>
          <cell r="Y216" t="str">
            <v>1020900010</v>
          </cell>
          <cell r="Z216" t="str">
            <v>-</v>
          </cell>
          <cell r="AA216" t="str">
            <v/>
          </cell>
          <cell r="AB216" t="str">
            <v/>
          </cell>
          <cell r="AC216" t="str">
            <v/>
          </cell>
          <cell r="AD216" t="str">
            <v/>
          </cell>
          <cell r="AE216" t="str">
            <v/>
          </cell>
          <cell r="AF216" t="str">
            <v/>
          </cell>
          <cell r="AG216" t="str">
            <v/>
          </cell>
          <cell r="AH216" t="str">
            <v/>
          </cell>
          <cell r="AI216" t="str">
            <v/>
          </cell>
          <cell r="AJ216" t="str">
            <v/>
          </cell>
          <cell r="AK216" t="str">
            <v/>
          </cell>
        </row>
        <row r="217">
          <cell r="A217">
            <v>1080400045</v>
          </cell>
          <cell r="B217" t="str">
            <v>Seal三脚架包装盒</v>
          </cell>
          <cell r="C217" t="str">
            <v/>
          </cell>
          <cell r="D217" t="str">
            <v>个</v>
          </cell>
          <cell r="E217" t="str">
            <v/>
          </cell>
          <cell r="F217" t="str">
            <v>Seal三脚架包装盒</v>
          </cell>
          <cell r="G217" t="str">
            <v>3DMakerpro</v>
          </cell>
          <cell r="H217" t="str">
            <v>其它物料</v>
          </cell>
          <cell r="I217" t="str">
            <v>否</v>
          </cell>
          <cell r="J217" t="str">
            <v>否</v>
          </cell>
          <cell r="K217" t="str">
            <v>深圳积木易搭科技技术有限公司</v>
          </cell>
          <cell r="L217" t="str">
            <v/>
          </cell>
          <cell r="M217" t="str">
            <v>2025-01-16 17:21:47</v>
          </cell>
          <cell r="N217" t="str">
            <v>2025-01-16 17:21:47</v>
          </cell>
          <cell r="O217" t="str">
            <v>单涛</v>
          </cell>
          <cell r="P217" t="str">
            <v/>
          </cell>
          <cell r="Q217" t="str">
            <v/>
          </cell>
          <cell r="R217" t="str">
            <v>否</v>
          </cell>
          <cell r="S217" t="str">
            <v/>
          </cell>
          <cell r="T217" t="str">
            <v/>
          </cell>
          <cell r="U217" t="str">
            <v/>
          </cell>
          <cell r="V217" t="str">
            <v/>
          </cell>
          <cell r="W217" t="str">
            <v/>
          </cell>
          <cell r="X217" t="str">
            <v/>
          </cell>
          <cell r="Y217" t="str">
            <v>1080400045</v>
          </cell>
          <cell r="Z217" t="str">
            <v>-</v>
          </cell>
          <cell r="AA217" t="str">
            <v/>
          </cell>
          <cell r="AB217" t="str">
            <v/>
          </cell>
          <cell r="AC217" t="str">
            <v/>
          </cell>
          <cell r="AD217" t="str">
            <v/>
          </cell>
          <cell r="AE217" t="str">
            <v/>
          </cell>
          <cell r="AF217" t="str">
            <v/>
          </cell>
          <cell r="AG217" t="str">
            <v/>
          </cell>
          <cell r="AH217" t="str">
            <v/>
          </cell>
          <cell r="AI217" t="str">
            <v/>
          </cell>
          <cell r="AJ217" t="str">
            <v/>
          </cell>
          <cell r="AK217" t="str">
            <v/>
          </cell>
        </row>
        <row r="218">
          <cell r="A218">
            <v>1050400038</v>
          </cell>
          <cell r="B218" t="str">
            <v>三脚架</v>
          </cell>
          <cell r="C218" t="str">
            <v/>
          </cell>
          <cell r="D218" t="str">
            <v>个</v>
          </cell>
          <cell r="E218" t="str">
            <v/>
          </cell>
          <cell r="F218" t="str">
            <v>三脚架</v>
          </cell>
          <cell r="G218" t="str">
            <v>3DMakerpro</v>
          </cell>
          <cell r="H218" t="str">
            <v>三维扫描仪备品备件</v>
          </cell>
          <cell r="I218" t="str">
            <v>否</v>
          </cell>
          <cell r="J218" t="str">
            <v>否</v>
          </cell>
          <cell r="K218" t="str">
            <v>深圳积木易搭科技技术有限公司</v>
          </cell>
          <cell r="L218" t="str">
            <v/>
          </cell>
          <cell r="M218" t="str">
            <v>2025-01-16 17:20:53</v>
          </cell>
          <cell r="N218" t="str">
            <v>2025-03-26 11:29:02</v>
          </cell>
          <cell r="O218" t="str">
            <v>单涛</v>
          </cell>
          <cell r="P218" t="str">
            <v/>
          </cell>
          <cell r="Q218" t="str">
            <v/>
          </cell>
          <cell r="R218" t="str">
            <v>否</v>
          </cell>
          <cell r="S218" t="str">
            <v/>
          </cell>
          <cell r="T218" t="str">
            <v/>
          </cell>
          <cell r="U218" t="str">
            <v/>
          </cell>
          <cell r="V218" t="str">
            <v/>
          </cell>
          <cell r="W218" t="str">
            <v/>
          </cell>
          <cell r="X218" t="str">
            <v/>
          </cell>
          <cell r="Y218" t="str">
            <v>1050400038</v>
          </cell>
          <cell r="Z218" t="str">
            <v>-</v>
          </cell>
          <cell r="AA218" t="str">
            <v/>
          </cell>
          <cell r="AB218" t="str">
            <v/>
          </cell>
          <cell r="AC218" t="str">
            <v/>
          </cell>
          <cell r="AD218" t="str">
            <v/>
          </cell>
          <cell r="AE218" t="str">
            <v/>
          </cell>
          <cell r="AF218" t="str">
            <v/>
          </cell>
          <cell r="AG218" t="str">
            <v/>
          </cell>
          <cell r="AH218" t="str">
            <v/>
          </cell>
          <cell r="AI218" t="str">
            <v/>
          </cell>
          <cell r="AJ218" t="str">
            <v>9620009000</v>
          </cell>
          <cell r="AK218" t="str">
            <v/>
          </cell>
        </row>
        <row r="219">
          <cell r="A219">
            <v>1080200011</v>
          </cell>
          <cell r="B219" t="str">
            <v>Moose/Seal豪华款套装箱包</v>
          </cell>
          <cell r="C219" t="str">
            <v/>
          </cell>
          <cell r="D219" t="str">
            <v>个</v>
          </cell>
          <cell r="E219" t="str">
            <v/>
          </cell>
          <cell r="F219" t="str">
            <v>Moose/Seal豪华款套装箱包</v>
          </cell>
          <cell r="G219" t="str">
            <v>3DMakerpro</v>
          </cell>
          <cell r="H219" t="str">
            <v>三维扫描仪备品备件</v>
          </cell>
          <cell r="I219" t="str">
            <v>否</v>
          </cell>
          <cell r="J219" t="str">
            <v>否</v>
          </cell>
          <cell r="K219" t="str">
            <v>深圳积木易搭科技技术有限公司</v>
          </cell>
          <cell r="L219" t="str">
            <v/>
          </cell>
          <cell r="M219" t="str">
            <v>2025-01-15 09:51:25</v>
          </cell>
          <cell r="N219" t="str">
            <v>2025-05-07 14:52:12</v>
          </cell>
          <cell r="O219" t="str">
            <v>单涛</v>
          </cell>
          <cell r="P219" t="str">
            <v>袁辉</v>
          </cell>
          <cell r="Q219" t="str">
            <v/>
          </cell>
          <cell r="R219" t="str">
            <v>否</v>
          </cell>
          <cell r="S219" t="str">
            <v/>
          </cell>
          <cell r="T219" t="str">
            <v/>
          </cell>
          <cell r="U219" t="str">
            <v/>
          </cell>
          <cell r="V219" t="str">
            <v/>
          </cell>
          <cell r="W219" t="str">
            <v/>
          </cell>
          <cell r="X219" t="str">
            <v/>
          </cell>
          <cell r="Y219" t="str">
            <v>1080200011</v>
          </cell>
          <cell r="Z219" t="str">
            <v>-</v>
          </cell>
          <cell r="AA219" t="str">
            <v/>
          </cell>
          <cell r="AB219" t="str">
            <v/>
          </cell>
          <cell r="AC219" t="str">
            <v/>
          </cell>
          <cell r="AD219" t="str">
            <v/>
          </cell>
          <cell r="AE219" t="str">
            <v/>
          </cell>
          <cell r="AF219" t="str">
            <v/>
          </cell>
          <cell r="AG219">
            <v>0.25</v>
          </cell>
          <cell r="AH219" t="str">
            <v>kg</v>
          </cell>
          <cell r="AI219" t="str">
            <v/>
          </cell>
          <cell r="AJ219" t="str">
            <v/>
          </cell>
          <cell r="AK219" t="str">
            <v/>
          </cell>
        </row>
        <row r="220">
          <cell r="A220">
            <v>1080500085</v>
          </cell>
          <cell r="B220" t="str">
            <v>JME1包装盒内衬2</v>
          </cell>
          <cell r="C220" t="str">
            <v/>
          </cell>
          <cell r="D220" t="str">
            <v>个</v>
          </cell>
          <cell r="E220" t="str">
            <v/>
          </cell>
          <cell r="F220" t="str">
            <v>JME1包装盒内衬2</v>
          </cell>
          <cell r="G220" t="str">
            <v/>
          </cell>
          <cell r="H220" t="str">
            <v>其它物料</v>
          </cell>
          <cell r="I220" t="str">
            <v>否</v>
          </cell>
          <cell r="J220" t="str">
            <v>否</v>
          </cell>
          <cell r="K220" t="str">
            <v>深圳积木易搭科技技术有限公司</v>
          </cell>
          <cell r="L220" t="str">
            <v/>
          </cell>
          <cell r="M220" t="str">
            <v>2025-01-10 16:47:53</v>
          </cell>
          <cell r="N220" t="str">
            <v>2025-01-10 16:47:53</v>
          </cell>
          <cell r="O220" t="str">
            <v>单涛</v>
          </cell>
          <cell r="P220" t="str">
            <v/>
          </cell>
          <cell r="Q220" t="str">
            <v/>
          </cell>
          <cell r="R220" t="str">
            <v>否</v>
          </cell>
          <cell r="S220" t="str">
            <v/>
          </cell>
          <cell r="T220" t="str">
            <v/>
          </cell>
          <cell r="U220" t="str">
            <v/>
          </cell>
          <cell r="V220" t="str">
            <v/>
          </cell>
          <cell r="W220" t="str">
            <v/>
          </cell>
          <cell r="X220" t="str">
            <v/>
          </cell>
          <cell r="Y220" t="str">
            <v>1080500085</v>
          </cell>
          <cell r="Z220" t="str">
            <v>-</v>
          </cell>
          <cell r="AA220" t="str">
            <v/>
          </cell>
          <cell r="AB220" t="str">
            <v/>
          </cell>
          <cell r="AC220" t="str">
            <v/>
          </cell>
          <cell r="AD220" t="str">
            <v/>
          </cell>
          <cell r="AE220" t="str">
            <v/>
          </cell>
          <cell r="AF220" t="str">
            <v/>
          </cell>
          <cell r="AG220" t="str">
            <v/>
          </cell>
          <cell r="AH220" t="str">
            <v/>
          </cell>
          <cell r="AI220" t="str">
            <v/>
          </cell>
          <cell r="AJ220" t="str">
            <v/>
          </cell>
          <cell r="AK220" t="str">
            <v/>
          </cell>
        </row>
        <row r="221">
          <cell r="A221">
            <v>1080500084</v>
          </cell>
          <cell r="B221" t="str">
            <v>JME1包装盒内衬1</v>
          </cell>
          <cell r="C221" t="str">
            <v/>
          </cell>
          <cell r="D221" t="str">
            <v>个</v>
          </cell>
          <cell r="E221" t="str">
            <v/>
          </cell>
          <cell r="F221" t="str">
            <v>JME1包装盒内衬1</v>
          </cell>
          <cell r="G221" t="str">
            <v/>
          </cell>
          <cell r="H221" t="str">
            <v>其它物料</v>
          </cell>
          <cell r="I221" t="str">
            <v>否</v>
          </cell>
          <cell r="J221" t="str">
            <v>否</v>
          </cell>
          <cell r="K221" t="str">
            <v>深圳积木易搭科技技术有限公司</v>
          </cell>
          <cell r="L221" t="str">
            <v/>
          </cell>
          <cell r="M221" t="str">
            <v>2025-01-10 16:47:06</v>
          </cell>
          <cell r="N221" t="str">
            <v>2025-01-10 16:47:06</v>
          </cell>
          <cell r="O221" t="str">
            <v>单涛</v>
          </cell>
          <cell r="P221" t="str">
            <v/>
          </cell>
          <cell r="Q221" t="str">
            <v/>
          </cell>
          <cell r="R221" t="str">
            <v>否</v>
          </cell>
          <cell r="S221" t="str">
            <v/>
          </cell>
          <cell r="T221" t="str">
            <v/>
          </cell>
          <cell r="U221" t="str">
            <v/>
          </cell>
          <cell r="V221" t="str">
            <v/>
          </cell>
          <cell r="W221" t="str">
            <v/>
          </cell>
          <cell r="X221" t="str">
            <v/>
          </cell>
          <cell r="Y221" t="str">
            <v>1080500084</v>
          </cell>
          <cell r="Z221" t="str">
            <v>默认规格</v>
          </cell>
          <cell r="AA221" t="str">
            <v/>
          </cell>
          <cell r="AB221" t="str">
            <v/>
          </cell>
          <cell r="AC221" t="str">
            <v/>
          </cell>
          <cell r="AD221" t="str">
            <v/>
          </cell>
          <cell r="AE221" t="str">
            <v/>
          </cell>
          <cell r="AF221" t="str">
            <v/>
          </cell>
          <cell r="AG221" t="str">
            <v/>
          </cell>
          <cell r="AH221" t="str">
            <v/>
          </cell>
          <cell r="AI221" t="str">
            <v/>
          </cell>
          <cell r="AJ221" t="str">
            <v/>
          </cell>
          <cell r="AK221" t="str">
            <v/>
          </cell>
        </row>
        <row r="222">
          <cell r="A222" t="str">
            <v>1080400051B</v>
          </cell>
          <cell r="B222" t="str">
            <v>JME1包装盒</v>
          </cell>
          <cell r="C222" t="str">
            <v/>
          </cell>
          <cell r="D222" t="str">
            <v>个</v>
          </cell>
          <cell r="E222" t="str">
            <v/>
          </cell>
          <cell r="F222" t="str">
            <v>JME1包装盒</v>
          </cell>
          <cell r="G222" t="str">
            <v/>
          </cell>
          <cell r="H222" t="str">
            <v>其它物料</v>
          </cell>
          <cell r="I222" t="str">
            <v>否</v>
          </cell>
          <cell r="J222" t="str">
            <v>否</v>
          </cell>
          <cell r="K222" t="str">
            <v>深圳积木易搭科技技术有限公司</v>
          </cell>
          <cell r="L222" t="str">
            <v/>
          </cell>
          <cell r="M222" t="str">
            <v>2025-01-10 16:46:13</v>
          </cell>
          <cell r="N222" t="str">
            <v>2025-01-10 16:46:13</v>
          </cell>
          <cell r="O222" t="str">
            <v>单涛</v>
          </cell>
          <cell r="P222" t="str">
            <v/>
          </cell>
          <cell r="Q222" t="str">
            <v/>
          </cell>
          <cell r="R222" t="str">
            <v>否</v>
          </cell>
          <cell r="S222" t="str">
            <v/>
          </cell>
          <cell r="T222" t="str">
            <v/>
          </cell>
          <cell r="U222" t="str">
            <v/>
          </cell>
          <cell r="V222" t="str">
            <v/>
          </cell>
          <cell r="W222" t="str">
            <v/>
          </cell>
          <cell r="X222" t="str">
            <v/>
          </cell>
          <cell r="Y222" t="str">
            <v>1080400051B</v>
          </cell>
          <cell r="Z222" t="str">
            <v>-</v>
          </cell>
          <cell r="AA222" t="str">
            <v/>
          </cell>
          <cell r="AB222" t="str">
            <v/>
          </cell>
          <cell r="AC222" t="str">
            <v/>
          </cell>
          <cell r="AD222" t="str">
            <v/>
          </cell>
          <cell r="AE222" t="str">
            <v/>
          </cell>
          <cell r="AF222" t="str">
            <v/>
          </cell>
          <cell r="AG222" t="str">
            <v/>
          </cell>
          <cell r="AH222" t="str">
            <v/>
          </cell>
          <cell r="AI222" t="str">
            <v/>
          </cell>
          <cell r="AJ222" t="str">
            <v/>
          </cell>
          <cell r="AK222" t="str">
            <v/>
          </cell>
        </row>
        <row r="223">
          <cell r="A223">
            <v>1200100083</v>
          </cell>
          <cell r="B223" t="str">
            <v>耳样扫描仪 JME1主机</v>
          </cell>
          <cell r="C223" t="str">
            <v/>
          </cell>
          <cell r="D223" t="str">
            <v>台</v>
          </cell>
          <cell r="E223" t="str">
            <v/>
          </cell>
          <cell r="F223" t="str">
            <v>耳样扫描仪 JME1主机</v>
          </cell>
          <cell r="G223" t="str">
            <v/>
          </cell>
          <cell r="H223" t="str">
            <v>耳样扫描仪-JME1</v>
          </cell>
          <cell r="I223" t="str">
            <v>否</v>
          </cell>
          <cell r="J223" t="str">
            <v>否</v>
          </cell>
          <cell r="K223" t="str">
            <v>深圳积木易搭科技技术有限公司</v>
          </cell>
          <cell r="L223" t="str">
            <v/>
          </cell>
          <cell r="M223" t="str">
            <v>2025-01-10 16:44:51</v>
          </cell>
          <cell r="N223" t="str">
            <v>2025-01-10 16:44:51</v>
          </cell>
          <cell r="O223" t="str">
            <v>单涛</v>
          </cell>
          <cell r="P223" t="str">
            <v/>
          </cell>
          <cell r="Q223" t="str">
            <v/>
          </cell>
          <cell r="R223" t="str">
            <v>否</v>
          </cell>
          <cell r="S223" t="str">
            <v/>
          </cell>
          <cell r="T223" t="str">
            <v/>
          </cell>
          <cell r="U223" t="str">
            <v/>
          </cell>
          <cell r="V223" t="str">
            <v/>
          </cell>
          <cell r="W223" t="str">
            <v/>
          </cell>
          <cell r="X223" t="str">
            <v/>
          </cell>
          <cell r="Y223" t="str">
            <v>1200100083</v>
          </cell>
          <cell r="Z223" t="str">
            <v>JME1</v>
          </cell>
          <cell r="AA223" t="str">
            <v/>
          </cell>
          <cell r="AB223" t="str">
            <v/>
          </cell>
          <cell r="AC223" t="str">
            <v/>
          </cell>
          <cell r="AD223" t="str">
            <v/>
          </cell>
          <cell r="AE223" t="str">
            <v/>
          </cell>
          <cell r="AF223" t="str">
            <v/>
          </cell>
          <cell r="AG223" t="str">
            <v/>
          </cell>
          <cell r="AH223" t="str">
            <v/>
          </cell>
          <cell r="AI223" t="str">
            <v/>
          </cell>
          <cell r="AJ223" t="str">
            <v/>
          </cell>
          <cell r="AK223" t="str">
            <v/>
          </cell>
        </row>
        <row r="224">
          <cell r="A224">
            <v>1100100434</v>
          </cell>
          <cell r="B224" t="str">
            <v>研发通用打样</v>
          </cell>
          <cell r="C224" t="str">
            <v/>
          </cell>
          <cell r="D224" t="str">
            <v>个</v>
          </cell>
          <cell r="E224" t="str">
            <v/>
          </cell>
          <cell r="F224" t="str">
            <v>研发通用打样</v>
          </cell>
          <cell r="G224" t="str">
            <v>3DMakerpro</v>
          </cell>
          <cell r="H224" t="str">
            <v>其它物料</v>
          </cell>
          <cell r="I224" t="str">
            <v>否</v>
          </cell>
          <cell r="J224" t="str">
            <v>否</v>
          </cell>
          <cell r="K224" t="str">
            <v>深圳积木易搭科技技术有限公司</v>
          </cell>
          <cell r="L224" t="str">
            <v/>
          </cell>
          <cell r="M224" t="str">
            <v>2024-12-17 15:48:56</v>
          </cell>
          <cell r="N224" t="str">
            <v>2024-12-17 15:48:56</v>
          </cell>
          <cell r="O224" t="str">
            <v>单涛</v>
          </cell>
          <cell r="P224" t="str">
            <v/>
          </cell>
          <cell r="Q224" t="str">
            <v/>
          </cell>
          <cell r="R224" t="str">
            <v>否</v>
          </cell>
          <cell r="S224" t="str">
            <v/>
          </cell>
          <cell r="T224" t="str">
            <v/>
          </cell>
          <cell r="U224" t="str">
            <v/>
          </cell>
          <cell r="V224" t="str">
            <v/>
          </cell>
          <cell r="W224" t="str">
            <v/>
          </cell>
          <cell r="X224" t="str">
            <v/>
          </cell>
          <cell r="Y224" t="str">
            <v>1100100434</v>
          </cell>
          <cell r="Z224" t="str">
            <v>-</v>
          </cell>
          <cell r="AA224" t="str">
            <v/>
          </cell>
          <cell r="AB224" t="str">
            <v/>
          </cell>
          <cell r="AC224" t="str">
            <v/>
          </cell>
          <cell r="AD224" t="str">
            <v/>
          </cell>
          <cell r="AE224" t="str">
            <v/>
          </cell>
          <cell r="AF224" t="str">
            <v/>
          </cell>
          <cell r="AG224" t="str">
            <v/>
          </cell>
          <cell r="AH224" t="str">
            <v/>
          </cell>
          <cell r="AI224" t="str">
            <v/>
          </cell>
          <cell r="AJ224" t="str">
            <v/>
          </cell>
          <cell r="AK224" t="str">
            <v/>
          </cell>
        </row>
        <row r="225">
          <cell r="A225">
            <v>1051300004</v>
          </cell>
          <cell r="B225" t="str">
            <v>欧标插头护套</v>
          </cell>
          <cell r="C225" t="str">
            <v/>
          </cell>
          <cell r="D225" t="str">
            <v>个</v>
          </cell>
          <cell r="E225" t="str">
            <v/>
          </cell>
          <cell r="F225" t="str">
            <v>欧标插头护套</v>
          </cell>
          <cell r="G225" t="str">
            <v>3DMakerpro</v>
          </cell>
          <cell r="H225" t="str">
            <v>三维扫描仪备品备件</v>
          </cell>
          <cell r="I225" t="str">
            <v>否</v>
          </cell>
          <cell r="J225" t="str">
            <v>否</v>
          </cell>
          <cell r="K225" t="str">
            <v>深圳积木易搭科技技术有限公司</v>
          </cell>
          <cell r="L225" t="str">
            <v/>
          </cell>
          <cell r="M225" t="str">
            <v>2024-12-11 14:41:01</v>
          </cell>
          <cell r="N225" t="str">
            <v>2024-12-11 14:41:01</v>
          </cell>
          <cell r="O225" t="str">
            <v>单涛</v>
          </cell>
          <cell r="P225" t="str">
            <v/>
          </cell>
          <cell r="Q225" t="str">
            <v/>
          </cell>
          <cell r="R225" t="str">
            <v>否</v>
          </cell>
          <cell r="S225" t="str">
            <v/>
          </cell>
          <cell r="T225" t="str">
            <v/>
          </cell>
          <cell r="U225" t="str">
            <v/>
          </cell>
          <cell r="V225" t="str">
            <v/>
          </cell>
          <cell r="W225" t="str">
            <v/>
          </cell>
          <cell r="X225" t="str">
            <v/>
          </cell>
          <cell r="Y225" t="str">
            <v>1051300004</v>
          </cell>
          <cell r="Z225" t="str">
            <v>-</v>
          </cell>
          <cell r="AA225" t="str">
            <v/>
          </cell>
          <cell r="AB225" t="str">
            <v/>
          </cell>
          <cell r="AC225" t="str">
            <v/>
          </cell>
          <cell r="AD225" t="str">
            <v/>
          </cell>
          <cell r="AE225" t="str">
            <v/>
          </cell>
          <cell r="AF225" t="str">
            <v/>
          </cell>
          <cell r="AG225" t="str">
            <v/>
          </cell>
          <cell r="AH225" t="str">
            <v/>
          </cell>
          <cell r="AI225" t="str">
            <v/>
          </cell>
          <cell r="AJ225" t="str">
            <v/>
          </cell>
          <cell r="AK225" t="str">
            <v/>
          </cell>
        </row>
        <row r="226">
          <cell r="A226">
            <v>1200100050</v>
          </cell>
          <cell r="B226" t="str">
            <v>Magic Swift Plus 整机(彩色)(2023版)</v>
          </cell>
          <cell r="C226" t="str">
            <v/>
          </cell>
          <cell r="D226" t="str">
            <v>台</v>
          </cell>
          <cell r="E226" t="str">
            <v/>
          </cell>
          <cell r="F226" t="str">
            <v/>
          </cell>
          <cell r="G226" t="str">
            <v>3DMakerpro</v>
          </cell>
          <cell r="H226" t="str">
            <v>三维扫描仪备品备件</v>
          </cell>
          <cell r="I226" t="str">
            <v>否</v>
          </cell>
          <cell r="J226" t="str">
            <v>否</v>
          </cell>
          <cell r="K226" t="str">
            <v>深圳积木易搭科技技术有限公司</v>
          </cell>
          <cell r="L226" t="str">
            <v/>
          </cell>
          <cell r="M226" t="str">
            <v>2024-11-25 17:21:35</v>
          </cell>
          <cell r="N226" t="str">
            <v>2024-11-25 17:21:35</v>
          </cell>
          <cell r="O226" t="str">
            <v>单涛</v>
          </cell>
          <cell r="P226" t="str">
            <v/>
          </cell>
          <cell r="Q226" t="str">
            <v/>
          </cell>
          <cell r="R226" t="str">
            <v>否</v>
          </cell>
          <cell r="S226" t="str">
            <v/>
          </cell>
          <cell r="T226" t="str">
            <v/>
          </cell>
          <cell r="U226" t="str">
            <v/>
          </cell>
          <cell r="V226" t="str">
            <v/>
          </cell>
          <cell r="W226" t="str">
            <v/>
          </cell>
          <cell r="X226" t="str">
            <v/>
          </cell>
          <cell r="Y226" t="str">
            <v>1200100050</v>
          </cell>
          <cell r="Z226" t="str">
            <v>JMSC</v>
          </cell>
          <cell r="AA226" t="str">
            <v/>
          </cell>
          <cell r="AB226" t="str">
            <v/>
          </cell>
          <cell r="AC226" t="str">
            <v/>
          </cell>
          <cell r="AD226" t="str">
            <v/>
          </cell>
          <cell r="AE226" t="str">
            <v/>
          </cell>
          <cell r="AF226" t="str">
            <v/>
          </cell>
          <cell r="AG226" t="str">
            <v/>
          </cell>
          <cell r="AH226" t="str">
            <v/>
          </cell>
          <cell r="AI226" t="str">
            <v/>
          </cell>
          <cell r="AJ226" t="str">
            <v/>
          </cell>
          <cell r="AK226" t="str">
            <v/>
          </cell>
        </row>
        <row r="227">
          <cell r="A227">
            <v>1200100104</v>
          </cell>
          <cell r="B227" t="str">
            <v>Seal卡件组件</v>
          </cell>
          <cell r="C227" t="str">
            <v/>
          </cell>
          <cell r="D227" t="str">
            <v>个</v>
          </cell>
          <cell r="E227" t="str">
            <v/>
          </cell>
          <cell r="F227" t="str">
            <v>Seal卡件组件</v>
          </cell>
          <cell r="G227" t="str">
            <v>3DMakerpro</v>
          </cell>
          <cell r="H227" t="str">
            <v>三维扫描仪备品备件</v>
          </cell>
          <cell r="I227" t="str">
            <v>否</v>
          </cell>
          <cell r="J227" t="str">
            <v>否</v>
          </cell>
          <cell r="K227" t="str">
            <v>深圳积木易搭科技技术有限公司</v>
          </cell>
          <cell r="L227" t="str">
            <v/>
          </cell>
          <cell r="M227" t="str">
            <v>2024-11-22 14:08:50</v>
          </cell>
          <cell r="N227" t="str">
            <v>2024-11-22 14:08:50</v>
          </cell>
          <cell r="O227" t="str">
            <v>单涛</v>
          </cell>
          <cell r="P227" t="str">
            <v/>
          </cell>
          <cell r="Q227" t="str">
            <v/>
          </cell>
          <cell r="R227" t="str">
            <v>否</v>
          </cell>
          <cell r="S227" t="str">
            <v/>
          </cell>
          <cell r="T227" t="str">
            <v/>
          </cell>
          <cell r="U227" t="str">
            <v/>
          </cell>
          <cell r="V227" t="str">
            <v/>
          </cell>
          <cell r="W227" t="str">
            <v/>
          </cell>
          <cell r="X227" t="str">
            <v/>
          </cell>
          <cell r="Y227" t="str">
            <v>1200100104</v>
          </cell>
          <cell r="Z227" t="str">
            <v>-</v>
          </cell>
          <cell r="AA227" t="str">
            <v/>
          </cell>
          <cell r="AB227" t="str">
            <v/>
          </cell>
          <cell r="AC227" t="str">
            <v/>
          </cell>
          <cell r="AD227" t="str">
            <v/>
          </cell>
          <cell r="AE227" t="str">
            <v/>
          </cell>
          <cell r="AF227" t="str">
            <v/>
          </cell>
          <cell r="AG227" t="str">
            <v/>
          </cell>
          <cell r="AH227" t="str">
            <v/>
          </cell>
          <cell r="AI227" t="str">
            <v/>
          </cell>
          <cell r="AJ227" t="str">
            <v/>
          </cell>
          <cell r="AK227" t="str">
            <v/>
          </cell>
        </row>
        <row r="228">
          <cell r="A228">
            <v>1080400033</v>
          </cell>
          <cell r="B228" t="str">
            <v>plus手提包包装盒</v>
          </cell>
          <cell r="C228" t="str">
            <v/>
          </cell>
          <cell r="D228" t="str">
            <v>个</v>
          </cell>
          <cell r="E228" t="str">
            <v/>
          </cell>
          <cell r="F228" t="str">
            <v>plus手提包包装盒</v>
          </cell>
          <cell r="G228" t="str">
            <v>3DMakerpro</v>
          </cell>
          <cell r="H228" t="str">
            <v>其它物料</v>
          </cell>
          <cell r="I228" t="str">
            <v>否</v>
          </cell>
          <cell r="J228" t="str">
            <v>否</v>
          </cell>
          <cell r="K228" t="str">
            <v>深圳积木易搭科技技术有限公司</v>
          </cell>
          <cell r="L228" t="str">
            <v/>
          </cell>
          <cell r="M228" t="str">
            <v>2024-11-13 15:25:24</v>
          </cell>
          <cell r="N228" t="str">
            <v>2024-11-13 15:25:24</v>
          </cell>
          <cell r="O228" t="str">
            <v>单涛</v>
          </cell>
          <cell r="P228" t="str">
            <v/>
          </cell>
          <cell r="Q228" t="str">
            <v/>
          </cell>
          <cell r="R228" t="str">
            <v>否</v>
          </cell>
          <cell r="S228" t="str">
            <v/>
          </cell>
          <cell r="T228" t="str">
            <v/>
          </cell>
          <cell r="U228" t="str">
            <v/>
          </cell>
          <cell r="V228" t="str">
            <v/>
          </cell>
          <cell r="W228" t="str">
            <v/>
          </cell>
          <cell r="X228" t="str">
            <v/>
          </cell>
          <cell r="Y228" t="str">
            <v>1080400033</v>
          </cell>
          <cell r="Z228" t="str">
            <v>-</v>
          </cell>
          <cell r="AA228" t="str">
            <v/>
          </cell>
          <cell r="AB228" t="str">
            <v/>
          </cell>
          <cell r="AC228" t="str">
            <v/>
          </cell>
          <cell r="AD228" t="str">
            <v/>
          </cell>
          <cell r="AE228" t="str">
            <v/>
          </cell>
          <cell r="AF228" t="str">
            <v/>
          </cell>
          <cell r="AG228" t="str">
            <v/>
          </cell>
          <cell r="AH228" t="str">
            <v/>
          </cell>
          <cell r="AI228" t="str">
            <v/>
          </cell>
          <cell r="AJ228" t="str">
            <v/>
          </cell>
          <cell r="AK228" t="str">
            <v/>
          </cell>
        </row>
        <row r="229">
          <cell r="A229">
            <v>1010100110</v>
          </cell>
          <cell r="B229" t="str">
            <v>Lynx转盘</v>
          </cell>
          <cell r="C229" t="str">
            <v/>
          </cell>
          <cell r="D229" t="str">
            <v>个</v>
          </cell>
          <cell r="E229" t="str">
            <v/>
          </cell>
          <cell r="F229" t="str">
            <v>Lynx转盘</v>
          </cell>
          <cell r="G229" t="str">
            <v>3DMakerpro</v>
          </cell>
          <cell r="H229" t="str">
            <v>三维扫描仪备品备件</v>
          </cell>
          <cell r="I229" t="str">
            <v>否</v>
          </cell>
          <cell r="J229" t="str">
            <v>否</v>
          </cell>
          <cell r="K229" t="str">
            <v>深圳积木易搭科技技术有限公司</v>
          </cell>
          <cell r="L229" t="str">
            <v/>
          </cell>
          <cell r="M229" t="str">
            <v>2024-11-13 15:23:22</v>
          </cell>
          <cell r="N229" t="str">
            <v>2024-11-13 15:23:22</v>
          </cell>
          <cell r="O229" t="str">
            <v>单涛</v>
          </cell>
          <cell r="P229" t="str">
            <v/>
          </cell>
          <cell r="Q229" t="str">
            <v/>
          </cell>
          <cell r="R229" t="str">
            <v>否</v>
          </cell>
          <cell r="S229" t="str">
            <v/>
          </cell>
          <cell r="T229" t="str">
            <v/>
          </cell>
          <cell r="U229" t="str">
            <v/>
          </cell>
          <cell r="V229" t="str">
            <v/>
          </cell>
          <cell r="W229" t="str">
            <v/>
          </cell>
          <cell r="X229" t="str">
            <v/>
          </cell>
          <cell r="Y229" t="str">
            <v>1010100110</v>
          </cell>
          <cell r="Z229" t="str">
            <v>-</v>
          </cell>
          <cell r="AA229" t="str">
            <v/>
          </cell>
          <cell r="AB229" t="str">
            <v/>
          </cell>
          <cell r="AC229" t="str">
            <v/>
          </cell>
          <cell r="AD229" t="str">
            <v/>
          </cell>
          <cell r="AE229" t="str">
            <v/>
          </cell>
          <cell r="AF229" t="str">
            <v/>
          </cell>
          <cell r="AG229" t="str">
            <v/>
          </cell>
          <cell r="AH229" t="str">
            <v/>
          </cell>
          <cell r="AI229" t="str">
            <v/>
          </cell>
          <cell r="AJ229" t="str">
            <v/>
          </cell>
          <cell r="AK229" t="str">
            <v/>
          </cell>
        </row>
        <row r="230">
          <cell r="A230">
            <v>1050400005</v>
          </cell>
          <cell r="B230" t="str">
            <v>三脚架</v>
          </cell>
          <cell r="C230" t="str">
            <v/>
          </cell>
          <cell r="D230" t="str">
            <v>个</v>
          </cell>
          <cell r="E230" t="str">
            <v/>
          </cell>
          <cell r="F230" t="str">
            <v>三脚架</v>
          </cell>
          <cell r="G230" t="str">
            <v>3DMakerpro</v>
          </cell>
          <cell r="H230" t="str">
            <v>三维扫描仪备品备件</v>
          </cell>
          <cell r="I230" t="str">
            <v>否</v>
          </cell>
          <cell r="J230" t="str">
            <v>否</v>
          </cell>
          <cell r="K230" t="str">
            <v>深圳积木易搭科技技术有限公司</v>
          </cell>
          <cell r="L230" t="str">
            <v/>
          </cell>
          <cell r="M230" t="str">
            <v>2024-11-13 15:21:59</v>
          </cell>
          <cell r="N230" t="str">
            <v>2025-03-26 11:29:12</v>
          </cell>
          <cell r="O230" t="str">
            <v>单涛</v>
          </cell>
          <cell r="P230" t="str">
            <v/>
          </cell>
          <cell r="Q230" t="str">
            <v/>
          </cell>
          <cell r="R230" t="str">
            <v>否</v>
          </cell>
          <cell r="S230" t="str">
            <v/>
          </cell>
          <cell r="T230" t="str">
            <v/>
          </cell>
          <cell r="U230" t="str">
            <v/>
          </cell>
          <cell r="V230" t="str">
            <v/>
          </cell>
          <cell r="W230" t="str">
            <v/>
          </cell>
          <cell r="X230" t="str">
            <v/>
          </cell>
          <cell r="Y230" t="str">
            <v>1050400005</v>
          </cell>
          <cell r="Z230" t="str">
            <v>-</v>
          </cell>
          <cell r="AA230" t="str">
            <v/>
          </cell>
          <cell r="AB230" t="str">
            <v/>
          </cell>
          <cell r="AC230" t="str">
            <v/>
          </cell>
          <cell r="AD230" t="str">
            <v/>
          </cell>
          <cell r="AE230" t="str">
            <v/>
          </cell>
          <cell r="AF230" t="str">
            <v/>
          </cell>
          <cell r="AG230" t="str">
            <v/>
          </cell>
          <cell r="AH230" t="str">
            <v/>
          </cell>
          <cell r="AI230" t="str">
            <v/>
          </cell>
          <cell r="AJ230" t="str">
            <v>9620009000</v>
          </cell>
          <cell r="AK230" t="str">
            <v/>
          </cell>
        </row>
        <row r="231">
          <cell r="A231">
            <v>1081100050</v>
          </cell>
          <cell r="B231" t="str">
            <v>plus说明书</v>
          </cell>
          <cell r="C231" t="str">
            <v/>
          </cell>
          <cell r="D231" t="str">
            <v>个</v>
          </cell>
          <cell r="E231" t="str">
            <v/>
          </cell>
          <cell r="F231" t="str">
            <v>plus说明书</v>
          </cell>
          <cell r="G231" t="str">
            <v>3DMakerpro</v>
          </cell>
          <cell r="H231" t="str">
            <v>其它物料</v>
          </cell>
          <cell r="I231" t="str">
            <v>否</v>
          </cell>
          <cell r="J231" t="str">
            <v>否</v>
          </cell>
          <cell r="K231" t="str">
            <v>深圳积木易搭科技技术有限公司</v>
          </cell>
          <cell r="L231" t="str">
            <v/>
          </cell>
          <cell r="M231" t="str">
            <v>2024-11-13 15:20:44</v>
          </cell>
          <cell r="N231" t="str">
            <v>2024-11-13 15:20:44</v>
          </cell>
          <cell r="O231" t="str">
            <v>单涛</v>
          </cell>
          <cell r="P231" t="str">
            <v/>
          </cell>
          <cell r="Q231" t="str">
            <v/>
          </cell>
          <cell r="R231" t="str">
            <v>否</v>
          </cell>
          <cell r="S231" t="str">
            <v/>
          </cell>
          <cell r="T231" t="str">
            <v/>
          </cell>
          <cell r="U231" t="str">
            <v/>
          </cell>
          <cell r="V231" t="str">
            <v/>
          </cell>
          <cell r="W231" t="str">
            <v/>
          </cell>
          <cell r="X231" t="str">
            <v/>
          </cell>
          <cell r="Y231" t="str">
            <v>1081100050</v>
          </cell>
          <cell r="Z231" t="str">
            <v>-</v>
          </cell>
          <cell r="AA231" t="str">
            <v/>
          </cell>
          <cell r="AB231" t="str">
            <v/>
          </cell>
          <cell r="AC231" t="str">
            <v/>
          </cell>
          <cell r="AD231" t="str">
            <v/>
          </cell>
          <cell r="AE231" t="str">
            <v/>
          </cell>
          <cell r="AF231" t="str">
            <v/>
          </cell>
          <cell r="AG231" t="str">
            <v/>
          </cell>
          <cell r="AH231" t="str">
            <v/>
          </cell>
          <cell r="AI231" t="str">
            <v/>
          </cell>
          <cell r="AJ231" t="str">
            <v/>
          </cell>
          <cell r="AK231" t="str">
            <v/>
          </cell>
        </row>
        <row r="232">
          <cell r="A232">
            <v>1081000126</v>
          </cell>
          <cell r="B232" t="str">
            <v>标识贴</v>
          </cell>
          <cell r="C232" t="str">
            <v/>
          </cell>
          <cell r="D232" t="str">
            <v>套</v>
          </cell>
          <cell r="E232" t="str">
            <v/>
          </cell>
          <cell r="F232" t="str">
            <v>标识贴</v>
          </cell>
          <cell r="G232" t="str">
            <v>3DMakerpro</v>
          </cell>
          <cell r="H232" t="str">
            <v>其它物料</v>
          </cell>
          <cell r="I232" t="str">
            <v>否</v>
          </cell>
          <cell r="J232" t="str">
            <v>否</v>
          </cell>
          <cell r="K232" t="str">
            <v>深圳积木易搭科技技术有限公司</v>
          </cell>
          <cell r="L232" t="str">
            <v/>
          </cell>
          <cell r="M232" t="str">
            <v>2024-10-25 17:20:38</v>
          </cell>
          <cell r="N232" t="str">
            <v>2024-10-25 17:20:38</v>
          </cell>
          <cell r="O232" t="str">
            <v>单涛</v>
          </cell>
          <cell r="P232" t="str">
            <v/>
          </cell>
          <cell r="Q232" t="str">
            <v/>
          </cell>
          <cell r="R232" t="str">
            <v>否</v>
          </cell>
          <cell r="S232" t="str">
            <v/>
          </cell>
          <cell r="T232" t="str">
            <v/>
          </cell>
          <cell r="U232" t="str">
            <v/>
          </cell>
          <cell r="V232" t="str">
            <v/>
          </cell>
          <cell r="W232" t="str">
            <v/>
          </cell>
          <cell r="X232" t="str">
            <v/>
          </cell>
          <cell r="Y232" t="str">
            <v>1081000126</v>
          </cell>
          <cell r="Z232" t="str">
            <v>-</v>
          </cell>
          <cell r="AA232" t="str">
            <v/>
          </cell>
          <cell r="AB232" t="str">
            <v/>
          </cell>
          <cell r="AC232" t="str">
            <v/>
          </cell>
          <cell r="AD232" t="str">
            <v/>
          </cell>
          <cell r="AE232" t="str">
            <v/>
          </cell>
          <cell r="AF232" t="str">
            <v/>
          </cell>
          <cell r="AG232" t="str">
            <v/>
          </cell>
          <cell r="AH232" t="str">
            <v/>
          </cell>
          <cell r="AI232" t="str">
            <v/>
          </cell>
          <cell r="AJ232" t="str">
            <v/>
          </cell>
          <cell r="AK232" t="str">
            <v/>
          </cell>
        </row>
        <row r="233">
          <cell r="A233">
            <v>1081000121</v>
          </cell>
          <cell r="B233" t="str">
            <v>外箱标识贴</v>
          </cell>
          <cell r="C233" t="str">
            <v/>
          </cell>
          <cell r="D233" t="str">
            <v>个</v>
          </cell>
          <cell r="E233" t="str">
            <v/>
          </cell>
          <cell r="F233" t="str">
            <v>外箱标识贴</v>
          </cell>
          <cell r="G233" t="str">
            <v>3DMakerpro</v>
          </cell>
          <cell r="H233" t="str">
            <v>其它物料</v>
          </cell>
          <cell r="I233" t="str">
            <v>否</v>
          </cell>
          <cell r="J233" t="str">
            <v>否</v>
          </cell>
          <cell r="K233" t="str">
            <v>深圳积木易搭科技技术有限公司</v>
          </cell>
          <cell r="L233" t="str">
            <v/>
          </cell>
          <cell r="M233" t="str">
            <v>2024-10-25 17:19:58</v>
          </cell>
          <cell r="N233" t="str">
            <v>2024-10-25 17:19:58</v>
          </cell>
          <cell r="O233" t="str">
            <v>单涛</v>
          </cell>
          <cell r="P233" t="str">
            <v/>
          </cell>
          <cell r="Q233" t="str">
            <v/>
          </cell>
          <cell r="R233" t="str">
            <v>否</v>
          </cell>
          <cell r="S233" t="str">
            <v/>
          </cell>
          <cell r="T233" t="str">
            <v/>
          </cell>
          <cell r="U233" t="str">
            <v/>
          </cell>
          <cell r="V233" t="str">
            <v/>
          </cell>
          <cell r="W233" t="str">
            <v/>
          </cell>
          <cell r="X233" t="str">
            <v/>
          </cell>
          <cell r="Y233" t="str">
            <v>1081000121</v>
          </cell>
          <cell r="Z233" t="str">
            <v>-</v>
          </cell>
          <cell r="AA233" t="str">
            <v/>
          </cell>
          <cell r="AB233" t="str">
            <v/>
          </cell>
          <cell r="AC233" t="str">
            <v/>
          </cell>
          <cell r="AD233" t="str">
            <v/>
          </cell>
          <cell r="AE233" t="str">
            <v/>
          </cell>
          <cell r="AF233" t="str">
            <v/>
          </cell>
          <cell r="AG233" t="str">
            <v/>
          </cell>
          <cell r="AH233" t="str">
            <v/>
          </cell>
          <cell r="AI233" t="str">
            <v/>
          </cell>
          <cell r="AJ233" t="str">
            <v/>
          </cell>
          <cell r="AK233" t="str">
            <v/>
          </cell>
        </row>
        <row r="234">
          <cell r="A234">
            <v>1081000120</v>
          </cell>
          <cell r="B234" t="str">
            <v>外箱标识贴</v>
          </cell>
          <cell r="C234" t="str">
            <v/>
          </cell>
          <cell r="D234" t="str">
            <v>个</v>
          </cell>
          <cell r="E234" t="str">
            <v/>
          </cell>
          <cell r="F234" t="str">
            <v>外箱标识贴</v>
          </cell>
          <cell r="G234" t="str">
            <v>3DMakerpro</v>
          </cell>
          <cell r="H234" t="str">
            <v>其它物料</v>
          </cell>
          <cell r="I234" t="str">
            <v>否</v>
          </cell>
          <cell r="J234" t="str">
            <v>否</v>
          </cell>
          <cell r="K234" t="str">
            <v>深圳积木易搭科技技术有限公司</v>
          </cell>
          <cell r="L234" t="str">
            <v/>
          </cell>
          <cell r="M234" t="str">
            <v>2024-10-25 17:19:23</v>
          </cell>
          <cell r="N234" t="str">
            <v>2024-10-25 17:19:23</v>
          </cell>
          <cell r="O234" t="str">
            <v>单涛</v>
          </cell>
          <cell r="P234" t="str">
            <v/>
          </cell>
          <cell r="Q234" t="str">
            <v/>
          </cell>
          <cell r="R234" t="str">
            <v>否</v>
          </cell>
          <cell r="S234" t="str">
            <v/>
          </cell>
          <cell r="T234" t="str">
            <v/>
          </cell>
          <cell r="U234" t="str">
            <v/>
          </cell>
          <cell r="V234" t="str">
            <v/>
          </cell>
          <cell r="W234" t="str">
            <v/>
          </cell>
          <cell r="X234" t="str">
            <v/>
          </cell>
          <cell r="Y234" t="str">
            <v>1081000120</v>
          </cell>
          <cell r="Z234" t="str">
            <v>-</v>
          </cell>
          <cell r="AA234" t="str">
            <v/>
          </cell>
          <cell r="AB234" t="str">
            <v/>
          </cell>
          <cell r="AC234" t="str">
            <v/>
          </cell>
          <cell r="AD234" t="str">
            <v/>
          </cell>
          <cell r="AE234" t="str">
            <v/>
          </cell>
          <cell r="AF234" t="str">
            <v/>
          </cell>
          <cell r="AG234" t="str">
            <v/>
          </cell>
          <cell r="AH234" t="str">
            <v/>
          </cell>
          <cell r="AI234" t="str">
            <v/>
          </cell>
          <cell r="AJ234" t="str">
            <v/>
          </cell>
          <cell r="AK234" t="str">
            <v/>
          </cell>
        </row>
        <row r="235">
          <cell r="A235">
            <v>1081000119</v>
          </cell>
          <cell r="B235" t="str">
            <v>外箱标识贴</v>
          </cell>
          <cell r="C235" t="str">
            <v/>
          </cell>
          <cell r="D235" t="str">
            <v>个</v>
          </cell>
          <cell r="E235" t="str">
            <v/>
          </cell>
          <cell r="F235" t="str">
            <v>外箱标识贴</v>
          </cell>
          <cell r="G235" t="str">
            <v>3DMakerpro</v>
          </cell>
          <cell r="H235" t="str">
            <v>其它物料</v>
          </cell>
          <cell r="I235" t="str">
            <v>否</v>
          </cell>
          <cell r="J235" t="str">
            <v>否</v>
          </cell>
          <cell r="K235" t="str">
            <v>深圳积木易搭科技技术有限公司</v>
          </cell>
          <cell r="L235" t="str">
            <v/>
          </cell>
          <cell r="M235" t="str">
            <v>2024-10-25 17:18:40</v>
          </cell>
          <cell r="N235" t="str">
            <v>2024-10-25 17:18:40</v>
          </cell>
          <cell r="O235" t="str">
            <v>单涛</v>
          </cell>
          <cell r="P235" t="str">
            <v/>
          </cell>
          <cell r="Q235" t="str">
            <v/>
          </cell>
          <cell r="R235" t="str">
            <v>否</v>
          </cell>
          <cell r="S235" t="str">
            <v/>
          </cell>
          <cell r="T235" t="str">
            <v/>
          </cell>
          <cell r="U235" t="str">
            <v/>
          </cell>
          <cell r="V235" t="str">
            <v/>
          </cell>
          <cell r="W235" t="str">
            <v/>
          </cell>
          <cell r="X235" t="str">
            <v/>
          </cell>
          <cell r="Y235" t="str">
            <v>1081000119</v>
          </cell>
          <cell r="Z235" t="str">
            <v>-</v>
          </cell>
          <cell r="AA235" t="str">
            <v/>
          </cell>
          <cell r="AB235" t="str">
            <v/>
          </cell>
          <cell r="AC235" t="str">
            <v/>
          </cell>
          <cell r="AD235" t="str">
            <v/>
          </cell>
          <cell r="AE235" t="str">
            <v/>
          </cell>
          <cell r="AF235" t="str">
            <v/>
          </cell>
          <cell r="AG235" t="str">
            <v/>
          </cell>
          <cell r="AH235" t="str">
            <v/>
          </cell>
          <cell r="AI235" t="str">
            <v/>
          </cell>
          <cell r="AJ235" t="str">
            <v/>
          </cell>
          <cell r="AK235" t="str">
            <v/>
          </cell>
        </row>
        <row r="236">
          <cell r="A236">
            <v>1080500039</v>
          </cell>
          <cell r="B236" t="str">
            <v>MP200灯箱泡棉7</v>
          </cell>
          <cell r="C236" t="str">
            <v/>
          </cell>
          <cell r="D236" t="str">
            <v>个</v>
          </cell>
          <cell r="E236" t="str">
            <v/>
          </cell>
          <cell r="F236" t="str">
            <v>MP200灯箱泡棉7</v>
          </cell>
          <cell r="G236" t="str">
            <v>3DMakerpro</v>
          </cell>
          <cell r="H236" t="str">
            <v>其它物料</v>
          </cell>
          <cell r="I236" t="str">
            <v>否</v>
          </cell>
          <cell r="J236" t="str">
            <v>否</v>
          </cell>
          <cell r="K236" t="str">
            <v>深圳积木易搭科技技术有限公司</v>
          </cell>
          <cell r="L236" t="str">
            <v/>
          </cell>
          <cell r="M236" t="str">
            <v>2024-10-25 17:18:00</v>
          </cell>
          <cell r="N236" t="str">
            <v>2024-10-25 17:18:00</v>
          </cell>
          <cell r="O236" t="str">
            <v>单涛</v>
          </cell>
          <cell r="P236" t="str">
            <v/>
          </cell>
          <cell r="Q236" t="str">
            <v/>
          </cell>
          <cell r="R236" t="str">
            <v>否</v>
          </cell>
          <cell r="S236" t="str">
            <v/>
          </cell>
          <cell r="T236" t="str">
            <v/>
          </cell>
          <cell r="U236" t="str">
            <v/>
          </cell>
          <cell r="V236" t="str">
            <v/>
          </cell>
          <cell r="W236" t="str">
            <v/>
          </cell>
          <cell r="X236" t="str">
            <v/>
          </cell>
          <cell r="Y236" t="str">
            <v>1080500039</v>
          </cell>
          <cell r="Z236" t="str">
            <v>-</v>
          </cell>
          <cell r="AA236" t="str">
            <v/>
          </cell>
          <cell r="AB236" t="str">
            <v/>
          </cell>
          <cell r="AC236" t="str">
            <v/>
          </cell>
          <cell r="AD236" t="str">
            <v/>
          </cell>
          <cell r="AE236" t="str">
            <v/>
          </cell>
          <cell r="AF236" t="str">
            <v/>
          </cell>
          <cell r="AG236" t="str">
            <v/>
          </cell>
          <cell r="AH236" t="str">
            <v/>
          </cell>
          <cell r="AI236" t="str">
            <v/>
          </cell>
          <cell r="AJ236" t="str">
            <v/>
          </cell>
          <cell r="AK236" t="str">
            <v/>
          </cell>
        </row>
        <row r="237">
          <cell r="A237">
            <v>1080500038</v>
          </cell>
          <cell r="B237" t="str">
            <v>MP200灯箱泡棉6</v>
          </cell>
          <cell r="C237" t="str">
            <v/>
          </cell>
          <cell r="D237" t="str">
            <v>个</v>
          </cell>
          <cell r="E237" t="str">
            <v/>
          </cell>
          <cell r="F237" t="str">
            <v>MP200灯箱泡棉6</v>
          </cell>
          <cell r="G237" t="str">
            <v>3DMakerpro</v>
          </cell>
          <cell r="H237" t="str">
            <v>其它物料</v>
          </cell>
          <cell r="I237" t="str">
            <v>否</v>
          </cell>
          <cell r="J237" t="str">
            <v>否</v>
          </cell>
          <cell r="K237" t="str">
            <v>深圳积木易搭科技技术有限公司</v>
          </cell>
          <cell r="L237" t="str">
            <v/>
          </cell>
          <cell r="M237" t="str">
            <v>2024-10-25 17:17:23</v>
          </cell>
          <cell r="N237" t="str">
            <v>2024-10-25 17:17:23</v>
          </cell>
          <cell r="O237" t="str">
            <v>单涛</v>
          </cell>
          <cell r="P237" t="str">
            <v/>
          </cell>
          <cell r="Q237" t="str">
            <v/>
          </cell>
          <cell r="R237" t="str">
            <v>否</v>
          </cell>
          <cell r="S237" t="str">
            <v/>
          </cell>
          <cell r="T237" t="str">
            <v/>
          </cell>
          <cell r="U237" t="str">
            <v/>
          </cell>
          <cell r="V237" t="str">
            <v/>
          </cell>
          <cell r="W237" t="str">
            <v/>
          </cell>
          <cell r="X237" t="str">
            <v/>
          </cell>
          <cell r="Y237" t="str">
            <v>1080500038</v>
          </cell>
          <cell r="Z237" t="str">
            <v>-</v>
          </cell>
          <cell r="AA237" t="str">
            <v/>
          </cell>
          <cell r="AB237" t="str">
            <v/>
          </cell>
          <cell r="AC237" t="str">
            <v/>
          </cell>
          <cell r="AD237" t="str">
            <v/>
          </cell>
          <cell r="AE237" t="str">
            <v/>
          </cell>
          <cell r="AF237" t="str">
            <v/>
          </cell>
          <cell r="AG237" t="str">
            <v/>
          </cell>
          <cell r="AH237" t="str">
            <v/>
          </cell>
          <cell r="AI237" t="str">
            <v/>
          </cell>
          <cell r="AJ237" t="str">
            <v/>
          </cell>
          <cell r="AK237" t="str">
            <v/>
          </cell>
        </row>
        <row r="238">
          <cell r="A238">
            <v>1080500037</v>
          </cell>
          <cell r="B238" t="str">
            <v>MP200灯箱泡棉5</v>
          </cell>
          <cell r="C238" t="str">
            <v/>
          </cell>
          <cell r="D238" t="str">
            <v>个</v>
          </cell>
          <cell r="E238" t="str">
            <v/>
          </cell>
          <cell r="F238" t="str">
            <v>MP200灯箱泡棉5</v>
          </cell>
          <cell r="G238" t="str">
            <v>3DMakerpro</v>
          </cell>
          <cell r="H238" t="str">
            <v>其它物料</v>
          </cell>
          <cell r="I238" t="str">
            <v>否</v>
          </cell>
          <cell r="J238" t="str">
            <v>否</v>
          </cell>
          <cell r="K238" t="str">
            <v>深圳积木易搭科技技术有限公司</v>
          </cell>
          <cell r="L238" t="str">
            <v/>
          </cell>
          <cell r="M238" t="str">
            <v>2024-10-25 17:16:47</v>
          </cell>
          <cell r="N238" t="str">
            <v>2024-10-25 17:16:47</v>
          </cell>
          <cell r="O238" t="str">
            <v>单涛</v>
          </cell>
          <cell r="P238" t="str">
            <v/>
          </cell>
          <cell r="Q238" t="str">
            <v/>
          </cell>
          <cell r="R238" t="str">
            <v>否</v>
          </cell>
          <cell r="S238" t="str">
            <v/>
          </cell>
          <cell r="T238" t="str">
            <v/>
          </cell>
          <cell r="U238" t="str">
            <v/>
          </cell>
          <cell r="V238" t="str">
            <v/>
          </cell>
          <cell r="W238" t="str">
            <v/>
          </cell>
          <cell r="X238" t="str">
            <v/>
          </cell>
          <cell r="Y238" t="str">
            <v>1080500037</v>
          </cell>
          <cell r="Z238" t="str">
            <v>-</v>
          </cell>
          <cell r="AA238" t="str">
            <v/>
          </cell>
          <cell r="AB238" t="str">
            <v/>
          </cell>
          <cell r="AC238" t="str">
            <v/>
          </cell>
          <cell r="AD238" t="str">
            <v/>
          </cell>
          <cell r="AE238" t="str">
            <v/>
          </cell>
          <cell r="AF238" t="str">
            <v/>
          </cell>
          <cell r="AG238" t="str">
            <v/>
          </cell>
          <cell r="AH238" t="str">
            <v/>
          </cell>
          <cell r="AI238" t="str">
            <v/>
          </cell>
          <cell r="AJ238" t="str">
            <v/>
          </cell>
          <cell r="AK238" t="str">
            <v/>
          </cell>
        </row>
        <row r="239">
          <cell r="A239">
            <v>1080500036</v>
          </cell>
          <cell r="B239" t="str">
            <v>MP200灯箱泡棉4</v>
          </cell>
          <cell r="C239" t="str">
            <v/>
          </cell>
          <cell r="D239" t="str">
            <v>个</v>
          </cell>
          <cell r="E239" t="str">
            <v/>
          </cell>
          <cell r="F239" t="str">
            <v>MP200灯箱泡棉4</v>
          </cell>
          <cell r="G239" t="str">
            <v>3DMakerpro</v>
          </cell>
          <cell r="H239" t="str">
            <v>其它物料</v>
          </cell>
          <cell r="I239" t="str">
            <v>否</v>
          </cell>
          <cell r="J239" t="str">
            <v>否</v>
          </cell>
          <cell r="K239" t="str">
            <v>深圳积木易搭科技技术有限公司</v>
          </cell>
          <cell r="L239" t="str">
            <v/>
          </cell>
          <cell r="M239" t="str">
            <v>2024-10-25 17:15:08</v>
          </cell>
          <cell r="N239" t="str">
            <v>2024-10-25 17:15:08</v>
          </cell>
          <cell r="O239" t="str">
            <v>单涛</v>
          </cell>
          <cell r="P239" t="str">
            <v/>
          </cell>
          <cell r="Q239" t="str">
            <v/>
          </cell>
          <cell r="R239" t="str">
            <v>否</v>
          </cell>
          <cell r="S239" t="str">
            <v/>
          </cell>
          <cell r="T239" t="str">
            <v/>
          </cell>
          <cell r="U239" t="str">
            <v/>
          </cell>
          <cell r="V239" t="str">
            <v/>
          </cell>
          <cell r="W239" t="str">
            <v/>
          </cell>
          <cell r="X239" t="str">
            <v/>
          </cell>
          <cell r="Y239" t="str">
            <v>1080500036</v>
          </cell>
          <cell r="Z239" t="str">
            <v>-</v>
          </cell>
          <cell r="AA239" t="str">
            <v/>
          </cell>
          <cell r="AB239" t="str">
            <v/>
          </cell>
          <cell r="AC239" t="str">
            <v/>
          </cell>
          <cell r="AD239" t="str">
            <v/>
          </cell>
          <cell r="AE239" t="str">
            <v/>
          </cell>
          <cell r="AF239" t="str">
            <v/>
          </cell>
          <cell r="AG239" t="str">
            <v/>
          </cell>
          <cell r="AH239" t="str">
            <v/>
          </cell>
          <cell r="AI239" t="str">
            <v/>
          </cell>
          <cell r="AJ239" t="str">
            <v/>
          </cell>
          <cell r="AK239" t="str">
            <v/>
          </cell>
        </row>
        <row r="240">
          <cell r="A240">
            <v>1080500035</v>
          </cell>
          <cell r="B240" t="str">
            <v>MP200灯箱泡棉3</v>
          </cell>
          <cell r="C240" t="str">
            <v/>
          </cell>
          <cell r="D240" t="str">
            <v>个</v>
          </cell>
          <cell r="E240" t="str">
            <v/>
          </cell>
          <cell r="F240" t="str">
            <v>MP200灯箱泡棉3</v>
          </cell>
          <cell r="G240" t="str">
            <v>3DMakerpro</v>
          </cell>
          <cell r="H240" t="str">
            <v>其它物料</v>
          </cell>
          <cell r="I240" t="str">
            <v>否</v>
          </cell>
          <cell r="J240" t="str">
            <v>否</v>
          </cell>
          <cell r="K240" t="str">
            <v>深圳积木易搭科技技术有限公司</v>
          </cell>
          <cell r="L240" t="str">
            <v/>
          </cell>
          <cell r="M240" t="str">
            <v>2024-10-25 17:14:30</v>
          </cell>
          <cell r="N240" t="str">
            <v>2024-10-25 17:14:30</v>
          </cell>
          <cell r="O240" t="str">
            <v>单涛</v>
          </cell>
          <cell r="P240" t="str">
            <v/>
          </cell>
          <cell r="Q240" t="str">
            <v/>
          </cell>
          <cell r="R240" t="str">
            <v>否</v>
          </cell>
          <cell r="S240" t="str">
            <v/>
          </cell>
          <cell r="T240" t="str">
            <v/>
          </cell>
          <cell r="U240" t="str">
            <v/>
          </cell>
          <cell r="V240" t="str">
            <v/>
          </cell>
          <cell r="W240" t="str">
            <v/>
          </cell>
          <cell r="X240" t="str">
            <v/>
          </cell>
          <cell r="Y240" t="str">
            <v>1080500035</v>
          </cell>
          <cell r="Z240" t="str">
            <v>-</v>
          </cell>
          <cell r="AA240" t="str">
            <v/>
          </cell>
          <cell r="AB240" t="str">
            <v/>
          </cell>
          <cell r="AC240" t="str">
            <v/>
          </cell>
          <cell r="AD240" t="str">
            <v/>
          </cell>
          <cell r="AE240" t="str">
            <v/>
          </cell>
          <cell r="AF240" t="str">
            <v/>
          </cell>
          <cell r="AG240" t="str">
            <v/>
          </cell>
          <cell r="AH240" t="str">
            <v/>
          </cell>
          <cell r="AI240" t="str">
            <v/>
          </cell>
          <cell r="AJ240" t="str">
            <v/>
          </cell>
          <cell r="AK240" t="str">
            <v/>
          </cell>
        </row>
        <row r="241">
          <cell r="A241">
            <v>1080500034</v>
          </cell>
          <cell r="B241" t="str">
            <v>MP200灯箱泡棉2</v>
          </cell>
          <cell r="C241" t="str">
            <v/>
          </cell>
          <cell r="D241" t="str">
            <v>个</v>
          </cell>
          <cell r="E241" t="str">
            <v/>
          </cell>
          <cell r="F241" t="str">
            <v>MP200灯箱泡棉2</v>
          </cell>
          <cell r="G241" t="str">
            <v>3DMakerpro</v>
          </cell>
          <cell r="H241" t="str">
            <v>其它物料</v>
          </cell>
          <cell r="I241" t="str">
            <v>否</v>
          </cell>
          <cell r="J241" t="str">
            <v>否</v>
          </cell>
          <cell r="K241" t="str">
            <v>深圳积木易搭科技技术有限公司</v>
          </cell>
          <cell r="L241" t="str">
            <v/>
          </cell>
          <cell r="M241" t="str">
            <v>2024-10-25 17:13:52</v>
          </cell>
          <cell r="N241" t="str">
            <v>2024-10-25 17:13:52</v>
          </cell>
          <cell r="O241" t="str">
            <v>单涛</v>
          </cell>
          <cell r="P241" t="str">
            <v/>
          </cell>
          <cell r="Q241" t="str">
            <v/>
          </cell>
          <cell r="R241" t="str">
            <v>否</v>
          </cell>
          <cell r="S241" t="str">
            <v/>
          </cell>
          <cell r="T241" t="str">
            <v/>
          </cell>
          <cell r="U241" t="str">
            <v/>
          </cell>
          <cell r="V241" t="str">
            <v/>
          </cell>
          <cell r="W241" t="str">
            <v/>
          </cell>
          <cell r="X241" t="str">
            <v/>
          </cell>
          <cell r="Y241" t="str">
            <v>1080500034</v>
          </cell>
          <cell r="Z241" t="str">
            <v>-</v>
          </cell>
          <cell r="AA241" t="str">
            <v/>
          </cell>
          <cell r="AB241" t="str">
            <v/>
          </cell>
          <cell r="AC241" t="str">
            <v/>
          </cell>
          <cell r="AD241" t="str">
            <v/>
          </cell>
          <cell r="AE241" t="str">
            <v/>
          </cell>
          <cell r="AF241" t="str">
            <v/>
          </cell>
          <cell r="AG241" t="str">
            <v/>
          </cell>
          <cell r="AH241" t="str">
            <v/>
          </cell>
          <cell r="AI241" t="str">
            <v/>
          </cell>
          <cell r="AJ241" t="str">
            <v/>
          </cell>
          <cell r="AK241" t="str">
            <v/>
          </cell>
        </row>
        <row r="242">
          <cell r="A242">
            <v>1080500033</v>
          </cell>
          <cell r="B242" t="str">
            <v>MP200灯箱泡棉1</v>
          </cell>
          <cell r="C242" t="str">
            <v/>
          </cell>
          <cell r="D242" t="str">
            <v>个</v>
          </cell>
          <cell r="E242" t="str">
            <v/>
          </cell>
          <cell r="F242" t="str">
            <v>MP200灯箱泡棉1</v>
          </cell>
          <cell r="G242" t="str">
            <v>3DMakerpro</v>
          </cell>
          <cell r="H242" t="str">
            <v>其它物料</v>
          </cell>
          <cell r="I242" t="str">
            <v>否</v>
          </cell>
          <cell r="J242" t="str">
            <v>否</v>
          </cell>
          <cell r="K242" t="str">
            <v>深圳积木易搭科技技术有限公司</v>
          </cell>
          <cell r="L242" t="str">
            <v/>
          </cell>
          <cell r="M242" t="str">
            <v>2024-10-25 17:12:32</v>
          </cell>
          <cell r="N242" t="str">
            <v>2024-10-25 17:12:32</v>
          </cell>
          <cell r="O242" t="str">
            <v>单涛</v>
          </cell>
          <cell r="P242" t="str">
            <v/>
          </cell>
          <cell r="Q242" t="str">
            <v/>
          </cell>
          <cell r="R242" t="str">
            <v>否</v>
          </cell>
          <cell r="S242" t="str">
            <v/>
          </cell>
          <cell r="T242" t="str">
            <v/>
          </cell>
          <cell r="U242" t="str">
            <v/>
          </cell>
          <cell r="V242" t="str">
            <v/>
          </cell>
          <cell r="W242" t="str">
            <v/>
          </cell>
          <cell r="X242" t="str">
            <v/>
          </cell>
          <cell r="Y242" t="str">
            <v>1080500033</v>
          </cell>
          <cell r="Z242" t="str">
            <v>-</v>
          </cell>
          <cell r="AA242" t="str">
            <v/>
          </cell>
          <cell r="AB242" t="str">
            <v/>
          </cell>
          <cell r="AC242" t="str">
            <v/>
          </cell>
          <cell r="AD242" t="str">
            <v/>
          </cell>
          <cell r="AE242" t="str">
            <v/>
          </cell>
          <cell r="AF242" t="str">
            <v/>
          </cell>
          <cell r="AG242" t="str">
            <v/>
          </cell>
          <cell r="AH242" t="str">
            <v/>
          </cell>
          <cell r="AI242" t="str">
            <v/>
          </cell>
          <cell r="AJ242" t="str">
            <v/>
          </cell>
          <cell r="AK242" t="str">
            <v/>
          </cell>
        </row>
        <row r="243">
          <cell r="A243">
            <v>1080100022</v>
          </cell>
          <cell r="B243" t="str">
            <v>MP200灯箱纸箱2</v>
          </cell>
          <cell r="C243" t="str">
            <v/>
          </cell>
          <cell r="D243" t="str">
            <v>个</v>
          </cell>
          <cell r="E243" t="str">
            <v/>
          </cell>
          <cell r="F243" t="str">
            <v>MP200灯箱纸箱2</v>
          </cell>
          <cell r="G243" t="str">
            <v>3DMakerpro</v>
          </cell>
          <cell r="H243" t="str">
            <v>其它物料</v>
          </cell>
          <cell r="I243" t="str">
            <v>否</v>
          </cell>
          <cell r="J243" t="str">
            <v>否</v>
          </cell>
          <cell r="K243" t="str">
            <v>深圳积木易搭科技技术有限公司</v>
          </cell>
          <cell r="L243" t="str">
            <v/>
          </cell>
          <cell r="M243" t="str">
            <v>2024-10-25 17:11:31</v>
          </cell>
          <cell r="N243" t="str">
            <v>2024-10-25 17:11:31</v>
          </cell>
          <cell r="O243" t="str">
            <v>单涛</v>
          </cell>
          <cell r="P243" t="str">
            <v/>
          </cell>
          <cell r="Q243" t="str">
            <v/>
          </cell>
          <cell r="R243" t="str">
            <v>否</v>
          </cell>
          <cell r="S243" t="str">
            <v/>
          </cell>
          <cell r="T243" t="str">
            <v/>
          </cell>
          <cell r="U243" t="str">
            <v/>
          </cell>
          <cell r="V243" t="str">
            <v/>
          </cell>
          <cell r="W243" t="str">
            <v/>
          </cell>
          <cell r="X243" t="str">
            <v/>
          </cell>
          <cell r="Y243" t="str">
            <v>1080100022</v>
          </cell>
          <cell r="Z243" t="str">
            <v>-</v>
          </cell>
          <cell r="AA243" t="str">
            <v/>
          </cell>
          <cell r="AB243" t="str">
            <v/>
          </cell>
          <cell r="AC243" t="str">
            <v/>
          </cell>
          <cell r="AD243" t="str">
            <v/>
          </cell>
          <cell r="AE243" t="str">
            <v/>
          </cell>
          <cell r="AF243" t="str">
            <v/>
          </cell>
          <cell r="AG243" t="str">
            <v/>
          </cell>
          <cell r="AH243" t="str">
            <v/>
          </cell>
          <cell r="AI243" t="str">
            <v/>
          </cell>
          <cell r="AJ243" t="str">
            <v/>
          </cell>
          <cell r="AK243" t="str">
            <v/>
          </cell>
        </row>
        <row r="244">
          <cell r="A244">
            <v>1080100021</v>
          </cell>
          <cell r="B244" t="str">
            <v>MP200灯箱纸箱1</v>
          </cell>
          <cell r="C244" t="str">
            <v/>
          </cell>
          <cell r="D244" t="str">
            <v>个</v>
          </cell>
          <cell r="E244" t="str">
            <v/>
          </cell>
          <cell r="F244" t="str">
            <v/>
          </cell>
          <cell r="G244" t="str">
            <v>3DMakerpro</v>
          </cell>
          <cell r="H244" t="str">
            <v>其它物料</v>
          </cell>
          <cell r="I244" t="str">
            <v>否</v>
          </cell>
          <cell r="J244" t="str">
            <v>否</v>
          </cell>
          <cell r="K244" t="str">
            <v>深圳积木易搭科技技术有限公司</v>
          </cell>
          <cell r="L244" t="str">
            <v/>
          </cell>
          <cell r="M244" t="str">
            <v>2024-10-25 17:10:34</v>
          </cell>
          <cell r="N244" t="str">
            <v>2024-10-25 17:10:34</v>
          </cell>
          <cell r="O244" t="str">
            <v>单涛</v>
          </cell>
          <cell r="P244" t="str">
            <v/>
          </cell>
          <cell r="Q244" t="str">
            <v/>
          </cell>
          <cell r="R244" t="str">
            <v>否</v>
          </cell>
          <cell r="S244" t="str">
            <v/>
          </cell>
          <cell r="T244" t="str">
            <v/>
          </cell>
          <cell r="U244" t="str">
            <v/>
          </cell>
          <cell r="V244" t="str">
            <v/>
          </cell>
          <cell r="W244" t="str">
            <v/>
          </cell>
          <cell r="X244" t="str">
            <v/>
          </cell>
          <cell r="Y244" t="str">
            <v>1080100021</v>
          </cell>
          <cell r="Z244" t="str">
            <v>-</v>
          </cell>
          <cell r="AA244" t="str">
            <v/>
          </cell>
          <cell r="AB244" t="str">
            <v/>
          </cell>
          <cell r="AC244" t="str">
            <v/>
          </cell>
          <cell r="AD244" t="str">
            <v/>
          </cell>
          <cell r="AE244" t="str">
            <v/>
          </cell>
          <cell r="AF244" t="str">
            <v/>
          </cell>
          <cell r="AG244" t="str">
            <v/>
          </cell>
          <cell r="AH244" t="str">
            <v/>
          </cell>
          <cell r="AI244" t="str">
            <v/>
          </cell>
          <cell r="AJ244" t="str">
            <v/>
          </cell>
          <cell r="AK244" t="str">
            <v/>
          </cell>
        </row>
        <row r="245">
          <cell r="A245">
            <v>1200100018</v>
          </cell>
          <cell r="B245" t="str">
            <v>MP200 灯箱总成</v>
          </cell>
          <cell r="C245" t="str">
            <v/>
          </cell>
          <cell r="D245" t="str">
            <v>台</v>
          </cell>
          <cell r="E245" t="str">
            <v/>
          </cell>
          <cell r="F245" t="str">
            <v>MP200 灯箱总成</v>
          </cell>
          <cell r="G245" t="str">
            <v>3DMakerpro</v>
          </cell>
          <cell r="H245" t="str">
            <v>三维扫描仪备品备件</v>
          </cell>
          <cell r="I245" t="str">
            <v>否</v>
          </cell>
          <cell r="J245" t="str">
            <v>否</v>
          </cell>
          <cell r="K245" t="str">
            <v>深圳积木易搭科技技术有限公司</v>
          </cell>
          <cell r="L245" t="str">
            <v/>
          </cell>
          <cell r="M245" t="str">
            <v>2024-10-25 17:09:00</v>
          </cell>
          <cell r="N245" t="str">
            <v>2024-10-25 17:09:00</v>
          </cell>
          <cell r="O245" t="str">
            <v>单涛</v>
          </cell>
          <cell r="P245" t="str">
            <v/>
          </cell>
          <cell r="Q245" t="str">
            <v/>
          </cell>
          <cell r="R245" t="str">
            <v>否</v>
          </cell>
          <cell r="S245" t="str">
            <v/>
          </cell>
          <cell r="T245" t="str">
            <v/>
          </cell>
          <cell r="U245" t="str">
            <v/>
          </cell>
          <cell r="V245" t="str">
            <v/>
          </cell>
          <cell r="W245" t="str">
            <v/>
          </cell>
          <cell r="X245" t="str">
            <v/>
          </cell>
          <cell r="Y245" t="str">
            <v>1200100018</v>
          </cell>
          <cell r="Z245" t="str">
            <v>-</v>
          </cell>
          <cell r="AA245" t="str">
            <v/>
          </cell>
          <cell r="AB245" t="str">
            <v/>
          </cell>
          <cell r="AC245" t="str">
            <v/>
          </cell>
          <cell r="AD245" t="str">
            <v/>
          </cell>
          <cell r="AE245" t="str">
            <v/>
          </cell>
          <cell r="AF245" t="str">
            <v/>
          </cell>
          <cell r="AG245" t="str">
            <v/>
          </cell>
          <cell r="AH245" t="str">
            <v/>
          </cell>
          <cell r="AI245" t="str">
            <v/>
          </cell>
          <cell r="AJ245" t="str">
            <v/>
          </cell>
          <cell r="AK245" t="str">
            <v/>
          </cell>
        </row>
        <row r="246">
          <cell r="A246">
            <v>1050200013</v>
          </cell>
          <cell r="B246" t="str">
            <v>U盘</v>
          </cell>
          <cell r="C246" t="str">
            <v/>
          </cell>
          <cell r="D246" t="str">
            <v>个</v>
          </cell>
          <cell r="E246" t="str">
            <v/>
          </cell>
          <cell r="F246" t="str">
            <v>U盘</v>
          </cell>
          <cell r="G246" t="str">
            <v>3DMakerpro</v>
          </cell>
          <cell r="H246" t="str">
            <v>三维扫描仪备品备件</v>
          </cell>
          <cell r="I246" t="str">
            <v>否</v>
          </cell>
          <cell r="J246" t="str">
            <v>否</v>
          </cell>
          <cell r="K246" t="str">
            <v>深圳积木易搭科技技术有限公司</v>
          </cell>
          <cell r="L246" t="str">
            <v/>
          </cell>
          <cell r="M246" t="str">
            <v>2024-10-24 10:01:37</v>
          </cell>
          <cell r="N246" t="str">
            <v>2024-10-24 10:01:37</v>
          </cell>
          <cell r="O246" t="str">
            <v>单涛</v>
          </cell>
          <cell r="P246" t="str">
            <v/>
          </cell>
          <cell r="Q246" t="str">
            <v/>
          </cell>
          <cell r="R246" t="str">
            <v>否</v>
          </cell>
          <cell r="S246" t="str">
            <v/>
          </cell>
          <cell r="T246" t="str">
            <v/>
          </cell>
          <cell r="U246" t="str">
            <v/>
          </cell>
          <cell r="V246" t="str">
            <v/>
          </cell>
          <cell r="W246" t="str">
            <v/>
          </cell>
          <cell r="X246" t="str">
            <v/>
          </cell>
          <cell r="Y246" t="str">
            <v>1050200013</v>
          </cell>
          <cell r="Z246" t="str">
            <v>-</v>
          </cell>
          <cell r="AA246" t="str">
            <v/>
          </cell>
          <cell r="AB246" t="str">
            <v/>
          </cell>
          <cell r="AC246" t="str">
            <v/>
          </cell>
          <cell r="AD246" t="str">
            <v/>
          </cell>
          <cell r="AE246" t="str">
            <v/>
          </cell>
          <cell r="AF246" t="str">
            <v/>
          </cell>
          <cell r="AG246" t="str">
            <v/>
          </cell>
          <cell r="AH246" t="str">
            <v/>
          </cell>
          <cell r="AI246" t="str">
            <v/>
          </cell>
          <cell r="AJ246" t="str">
            <v/>
          </cell>
          <cell r="AK246" t="str">
            <v/>
          </cell>
        </row>
        <row r="247">
          <cell r="A247">
            <v>1200100100</v>
          </cell>
          <cell r="B247" t="str">
            <v>MP80黑色幕布挂帘组件</v>
          </cell>
          <cell r="C247" t="str">
            <v/>
          </cell>
          <cell r="D247" t="str">
            <v>个</v>
          </cell>
          <cell r="E247" t="str">
            <v/>
          </cell>
          <cell r="F247" t="str">
            <v>MP80黑色幕布挂帘组件</v>
          </cell>
          <cell r="G247" t="str">
            <v>3DMakerpro</v>
          </cell>
          <cell r="H247" t="str">
            <v>三维扫描仪备品备件</v>
          </cell>
          <cell r="I247" t="str">
            <v>否</v>
          </cell>
          <cell r="J247" t="str">
            <v>否</v>
          </cell>
          <cell r="K247" t="str">
            <v>深圳积木易搭科技技术有限公司</v>
          </cell>
          <cell r="L247" t="str">
            <v/>
          </cell>
          <cell r="M247" t="str">
            <v>2024-10-18 09:41:47</v>
          </cell>
          <cell r="N247" t="str">
            <v>2024-10-18 09:42:20</v>
          </cell>
          <cell r="O247" t="str">
            <v>单涛</v>
          </cell>
          <cell r="P247" t="str">
            <v>单涛</v>
          </cell>
          <cell r="Q247" t="str">
            <v/>
          </cell>
          <cell r="R247" t="str">
            <v>否</v>
          </cell>
          <cell r="S247" t="str">
            <v/>
          </cell>
          <cell r="T247" t="str">
            <v/>
          </cell>
          <cell r="U247" t="str">
            <v/>
          </cell>
          <cell r="V247" t="str">
            <v/>
          </cell>
          <cell r="W247" t="str">
            <v/>
          </cell>
          <cell r="X247" t="str">
            <v/>
          </cell>
          <cell r="Y247" t="str">
            <v>1200100100</v>
          </cell>
          <cell r="Z247" t="str">
            <v>-</v>
          </cell>
          <cell r="AA247" t="str">
            <v/>
          </cell>
          <cell r="AB247" t="str">
            <v/>
          </cell>
          <cell r="AC247" t="str">
            <v/>
          </cell>
          <cell r="AD247" t="str">
            <v/>
          </cell>
          <cell r="AE247" t="str">
            <v/>
          </cell>
          <cell r="AF247" t="str">
            <v/>
          </cell>
          <cell r="AG247" t="str">
            <v/>
          </cell>
          <cell r="AH247" t="str">
            <v/>
          </cell>
          <cell r="AI247" t="str">
            <v/>
          </cell>
          <cell r="AJ247" t="str">
            <v/>
          </cell>
          <cell r="AK247" t="str">
            <v/>
          </cell>
        </row>
        <row r="248">
          <cell r="A248">
            <v>1200100099</v>
          </cell>
          <cell r="B248" t="str">
            <v>MP80黑色挂片组件</v>
          </cell>
          <cell r="C248" t="str">
            <v/>
          </cell>
          <cell r="D248" t="str">
            <v>个</v>
          </cell>
          <cell r="E248" t="str">
            <v/>
          </cell>
          <cell r="F248" t="str">
            <v>MP80黑色挂片组件</v>
          </cell>
          <cell r="G248" t="str">
            <v>3DMakerpro</v>
          </cell>
          <cell r="H248" t="str">
            <v>三维扫描仪备品备件</v>
          </cell>
          <cell r="I248" t="str">
            <v>否</v>
          </cell>
          <cell r="J248" t="str">
            <v>否</v>
          </cell>
          <cell r="K248" t="str">
            <v>深圳积木易搭科技技术有限公司</v>
          </cell>
          <cell r="L248" t="str">
            <v/>
          </cell>
          <cell r="M248" t="str">
            <v>2024-10-18 09:40:53</v>
          </cell>
          <cell r="N248" t="str">
            <v>2024-10-18 09:40:53</v>
          </cell>
          <cell r="O248" t="str">
            <v>单涛</v>
          </cell>
          <cell r="P248" t="str">
            <v/>
          </cell>
          <cell r="Q248" t="str">
            <v/>
          </cell>
          <cell r="R248" t="str">
            <v>否</v>
          </cell>
          <cell r="S248" t="str">
            <v/>
          </cell>
          <cell r="T248" t="str">
            <v/>
          </cell>
          <cell r="U248" t="str">
            <v/>
          </cell>
          <cell r="V248" t="str">
            <v/>
          </cell>
          <cell r="W248" t="str">
            <v/>
          </cell>
          <cell r="X248" t="str">
            <v/>
          </cell>
          <cell r="Y248" t="str">
            <v>1200100099</v>
          </cell>
          <cell r="Z248" t="str">
            <v>-</v>
          </cell>
          <cell r="AA248" t="str">
            <v/>
          </cell>
          <cell r="AB248" t="str">
            <v/>
          </cell>
          <cell r="AC248" t="str">
            <v/>
          </cell>
          <cell r="AD248" t="str">
            <v/>
          </cell>
          <cell r="AE248" t="str">
            <v/>
          </cell>
          <cell r="AF248" t="str">
            <v/>
          </cell>
          <cell r="AG248" t="str">
            <v/>
          </cell>
          <cell r="AH248" t="str">
            <v/>
          </cell>
          <cell r="AI248" t="str">
            <v/>
          </cell>
          <cell r="AJ248" t="str">
            <v/>
          </cell>
          <cell r="AK248" t="str">
            <v/>
          </cell>
        </row>
        <row r="249">
          <cell r="A249">
            <v>1060900009</v>
          </cell>
          <cell r="B249" t="str">
            <v>转盘硅胶套</v>
          </cell>
          <cell r="C249" t="str">
            <v/>
          </cell>
          <cell r="D249" t="str">
            <v>个</v>
          </cell>
          <cell r="E249" t="str">
            <v/>
          </cell>
          <cell r="F249" t="str">
            <v>转盘硅胶套100*100*5mm</v>
          </cell>
          <cell r="G249" t="str">
            <v/>
          </cell>
          <cell r="H249" t="str">
            <v>其它物料</v>
          </cell>
          <cell r="I249" t="str">
            <v>否</v>
          </cell>
          <cell r="J249" t="str">
            <v>否</v>
          </cell>
          <cell r="K249" t="str">
            <v>深圳积木易搭科技技术有限公司</v>
          </cell>
          <cell r="L249" t="str">
            <v/>
          </cell>
          <cell r="M249" t="str">
            <v>2024-10-15 16:59:00</v>
          </cell>
          <cell r="N249" t="str">
            <v>2024-10-15 16:59:00</v>
          </cell>
          <cell r="O249" t="str">
            <v>单涛</v>
          </cell>
          <cell r="P249" t="str">
            <v/>
          </cell>
          <cell r="Q249" t="str">
            <v/>
          </cell>
          <cell r="R249" t="str">
            <v>否</v>
          </cell>
          <cell r="S249" t="str">
            <v/>
          </cell>
          <cell r="T249" t="str">
            <v/>
          </cell>
          <cell r="U249" t="str">
            <v/>
          </cell>
          <cell r="V249" t="str">
            <v/>
          </cell>
          <cell r="W249" t="str">
            <v/>
          </cell>
          <cell r="X249" t="str">
            <v/>
          </cell>
          <cell r="Y249" t="str">
            <v>1060900009</v>
          </cell>
          <cell r="Z249" t="str">
            <v>-</v>
          </cell>
          <cell r="AA249" t="str">
            <v/>
          </cell>
          <cell r="AB249" t="str">
            <v/>
          </cell>
          <cell r="AC249" t="str">
            <v/>
          </cell>
          <cell r="AD249" t="str">
            <v/>
          </cell>
          <cell r="AE249" t="str">
            <v/>
          </cell>
          <cell r="AF249" t="str">
            <v/>
          </cell>
          <cell r="AG249" t="str">
            <v/>
          </cell>
          <cell r="AH249" t="str">
            <v/>
          </cell>
          <cell r="AI249" t="str">
            <v/>
          </cell>
          <cell r="AJ249" t="str">
            <v/>
          </cell>
          <cell r="AK249" t="str">
            <v/>
          </cell>
        </row>
        <row r="250">
          <cell r="A250">
            <v>1060100295</v>
          </cell>
          <cell r="B250" t="str">
            <v>大头针</v>
          </cell>
          <cell r="C250" t="str">
            <v/>
          </cell>
          <cell r="D250" t="str">
            <v>个</v>
          </cell>
          <cell r="E250" t="str">
            <v/>
          </cell>
          <cell r="F250" t="str">
            <v>圆形/直径11mm,总长13mm/银色</v>
          </cell>
          <cell r="G250" t="str">
            <v/>
          </cell>
          <cell r="H250" t="str">
            <v>其它物料</v>
          </cell>
          <cell r="I250" t="str">
            <v>否</v>
          </cell>
          <cell r="J250" t="str">
            <v>否</v>
          </cell>
          <cell r="K250" t="str">
            <v>深圳积木易搭科技技术有限公司</v>
          </cell>
          <cell r="L250" t="str">
            <v/>
          </cell>
          <cell r="M250" t="str">
            <v>2024-10-15 16:57:56</v>
          </cell>
          <cell r="N250" t="str">
            <v>2024-10-15 16:57:56</v>
          </cell>
          <cell r="O250" t="str">
            <v>单涛</v>
          </cell>
          <cell r="P250" t="str">
            <v/>
          </cell>
          <cell r="Q250" t="str">
            <v/>
          </cell>
          <cell r="R250" t="str">
            <v>否</v>
          </cell>
          <cell r="S250" t="str">
            <v/>
          </cell>
          <cell r="T250" t="str">
            <v/>
          </cell>
          <cell r="U250" t="str">
            <v/>
          </cell>
          <cell r="V250" t="str">
            <v/>
          </cell>
          <cell r="W250" t="str">
            <v/>
          </cell>
          <cell r="X250" t="str">
            <v/>
          </cell>
          <cell r="Y250" t="str">
            <v>1060100295</v>
          </cell>
          <cell r="Z250" t="str">
            <v>-</v>
          </cell>
          <cell r="AA250" t="str">
            <v/>
          </cell>
          <cell r="AB250" t="str">
            <v/>
          </cell>
          <cell r="AC250" t="str">
            <v/>
          </cell>
          <cell r="AD250" t="str">
            <v/>
          </cell>
          <cell r="AE250" t="str">
            <v/>
          </cell>
          <cell r="AF250" t="str">
            <v/>
          </cell>
          <cell r="AG250" t="str">
            <v/>
          </cell>
          <cell r="AH250" t="str">
            <v/>
          </cell>
          <cell r="AI250" t="str">
            <v/>
          </cell>
          <cell r="AJ250" t="str">
            <v/>
          </cell>
          <cell r="AK250" t="str">
            <v/>
          </cell>
        </row>
        <row r="251">
          <cell r="A251" t="str">
            <v>1081100024B</v>
          </cell>
          <cell r="B251" t="str">
            <v>欧代标签</v>
          </cell>
          <cell r="C251" t="str">
            <v/>
          </cell>
          <cell r="D251" t="str">
            <v>个</v>
          </cell>
          <cell r="E251" t="str">
            <v/>
          </cell>
          <cell r="F251" t="str">
            <v>欧代标签</v>
          </cell>
          <cell r="G251" t="str">
            <v/>
          </cell>
          <cell r="H251" t="str">
            <v>其它物料</v>
          </cell>
          <cell r="I251" t="str">
            <v>否</v>
          </cell>
          <cell r="J251" t="str">
            <v>否</v>
          </cell>
          <cell r="K251" t="str">
            <v>深圳积木易搭科技技术有限公司</v>
          </cell>
          <cell r="L251" t="str">
            <v/>
          </cell>
          <cell r="M251" t="str">
            <v>2024-09-20 14:10:38</v>
          </cell>
          <cell r="N251" t="str">
            <v>2024-09-20 14:10:38</v>
          </cell>
          <cell r="O251" t="str">
            <v>单涛</v>
          </cell>
          <cell r="P251" t="str">
            <v/>
          </cell>
          <cell r="Q251" t="str">
            <v/>
          </cell>
          <cell r="R251" t="str">
            <v>否</v>
          </cell>
          <cell r="S251" t="str">
            <v/>
          </cell>
          <cell r="T251" t="str">
            <v/>
          </cell>
          <cell r="U251" t="str">
            <v/>
          </cell>
          <cell r="V251" t="str">
            <v/>
          </cell>
          <cell r="W251" t="str">
            <v/>
          </cell>
          <cell r="X251" t="str">
            <v/>
          </cell>
          <cell r="Y251" t="str">
            <v>1081100024B</v>
          </cell>
          <cell r="Z251" t="str">
            <v>-</v>
          </cell>
          <cell r="AA251" t="str">
            <v/>
          </cell>
          <cell r="AB251" t="str">
            <v/>
          </cell>
          <cell r="AC251" t="str">
            <v/>
          </cell>
          <cell r="AD251" t="str">
            <v/>
          </cell>
          <cell r="AE251" t="str">
            <v/>
          </cell>
          <cell r="AF251" t="str">
            <v/>
          </cell>
          <cell r="AG251" t="str">
            <v/>
          </cell>
          <cell r="AH251" t="str">
            <v/>
          </cell>
          <cell r="AI251" t="str">
            <v/>
          </cell>
          <cell r="AJ251" t="str">
            <v/>
          </cell>
          <cell r="AK251" t="str">
            <v/>
          </cell>
        </row>
        <row r="252">
          <cell r="A252">
            <v>1081000137</v>
          </cell>
          <cell r="B252" t="str">
            <v>Moose二维码不干胶贴纸</v>
          </cell>
          <cell r="C252" t="str">
            <v/>
          </cell>
          <cell r="D252" t="str">
            <v>个</v>
          </cell>
          <cell r="E252" t="str">
            <v/>
          </cell>
          <cell r="F252" t="str">
            <v>Moose二维码不干胶贴纸</v>
          </cell>
          <cell r="G252" t="str">
            <v/>
          </cell>
          <cell r="H252" t="str">
            <v>其它物料</v>
          </cell>
          <cell r="I252" t="str">
            <v>否</v>
          </cell>
          <cell r="J252" t="str">
            <v>否</v>
          </cell>
          <cell r="K252" t="str">
            <v>深圳积木易搭科技技术有限公司</v>
          </cell>
          <cell r="L252" t="str">
            <v/>
          </cell>
          <cell r="M252" t="str">
            <v>2024-09-20 14:03:48</v>
          </cell>
          <cell r="N252" t="str">
            <v>2024-09-20 14:03:48</v>
          </cell>
          <cell r="O252" t="str">
            <v>单涛</v>
          </cell>
          <cell r="P252" t="str">
            <v/>
          </cell>
          <cell r="Q252" t="str">
            <v/>
          </cell>
          <cell r="R252" t="str">
            <v>否</v>
          </cell>
          <cell r="S252" t="str">
            <v/>
          </cell>
          <cell r="T252" t="str">
            <v/>
          </cell>
          <cell r="U252" t="str">
            <v/>
          </cell>
          <cell r="V252" t="str">
            <v/>
          </cell>
          <cell r="W252" t="str">
            <v/>
          </cell>
          <cell r="X252" t="str">
            <v/>
          </cell>
          <cell r="Y252" t="str">
            <v>1081000137</v>
          </cell>
          <cell r="Z252" t="str">
            <v>-</v>
          </cell>
          <cell r="AA252" t="str">
            <v/>
          </cell>
          <cell r="AB252" t="str">
            <v/>
          </cell>
          <cell r="AC252" t="str">
            <v/>
          </cell>
          <cell r="AD252" t="str">
            <v/>
          </cell>
          <cell r="AE252" t="str">
            <v/>
          </cell>
          <cell r="AF252" t="str">
            <v/>
          </cell>
          <cell r="AG252" t="str">
            <v/>
          </cell>
          <cell r="AH252" t="str">
            <v/>
          </cell>
          <cell r="AI252" t="str">
            <v/>
          </cell>
          <cell r="AJ252" t="str">
            <v/>
          </cell>
          <cell r="AK252" t="str">
            <v/>
          </cell>
        </row>
        <row r="253">
          <cell r="A253">
            <v>1080100034</v>
          </cell>
          <cell r="B253" t="str">
            <v>物流外箱10#</v>
          </cell>
          <cell r="C253" t="str">
            <v/>
          </cell>
          <cell r="D253" t="str">
            <v>个</v>
          </cell>
          <cell r="E253" t="str">
            <v/>
          </cell>
          <cell r="F253" t="str">
            <v>物流外箱10#</v>
          </cell>
          <cell r="G253" t="str">
            <v/>
          </cell>
          <cell r="H253" t="str">
            <v>其它物料</v>
          </cell>
          <cell r="I253" t="str">
            <v>否</v>
          </cell>
          <cell r="J253" t="str">
            <v>否</v>
          </cell>
          <cell r="K253" t="str">
            <v>深圳积木易搭科技技术有限公司</v>
          </cell>
          <cell r="L253" t="str">
            <v/>
          </cell>
          <cell r="M253" t="str">
            <v>2024-09-20 14:01:37</v>
          </cell>
          <cell r="N253" t="str">
            <v>2024-09-20 14:01:37</v>
          </cell>
          <cell r="O253" t="str">
            <v>单涛</v>
          </cell>
          <cell r="P253" t="str">
            <v/>
          </cell>
          <cell r="Q253" t="str">
            <v/>
          </cell>
          <cell r="R253" t="str">
            <v>否</v>
          </cell>
          <cell r="S253" t="str">
            <v/>
          </cell>
          <cell r="T253" t="str">
            <v/>
          </cell>
          <cell r="U253" t="str">
            <v/>
          </cell>
          <cell r="V253" t="str">
            <v/>
          </cell>
          <cell r="W253" t="str">
            <v/>
          </cell>
          <cell r="X253" t="str">
            <v/>
          </cell>
          <cell r="Y253" t="str">
            <v>1080100034</v>
          </cell>
          <cell r="Z253" t="str">
            <v>-</v>
          </cell>
          <cell r="AA253" t="str">
            <v/>
          </cell>
          <cell r="AB253" t="str">
            <v/>
          </cell>
          <cell r="AC253" t="str">
            <v/>
          </cell>
          <cell r="AD253" t="str">
            <v/>
          </cell>
          <cell r="AE253" t="str">
            <v/>
          </cell>
          <cell r="AF253" t="str">
            <v/>
          </cell>
          <cell r="AG253" t="str">
            <v/>
          </cell>
          <cell r="AH253" t="str">
            <v/>
          </cell>
          <cell r="AI253" t="str">
            <v/>
          </cell>
          <cell r="AJ253" t="str">
            <v/>
          </cell>
          <cell r="AK253" t="str">
            <v/>
          </cell>
        </row>
        <row r="254">
          <cell r="A254">
            <v>1050300003</v>
          </cell>
          <cell r="B254" t="str">
            <v>Moose主机挂绳</v>
          </cell>
          <cell r="C254" t="str">
            <v/>
          </cell>
          <cell r="D254" t="str">
            <v>根</v>
          </cell>
          <cell r="E254" t="str">
            <v/>
          </cell>
          <cell r="F254" t="str">
            <v>Moose主机挂绳</v>
          </cell>
          <cell r="G254" t="str">
            <v/>
          </cell>
          <cell r="H254" t="str">
            <v>其它物料</v>
          </cell>
          <cell r="I254" t="str">
            <v>否</v>
          </cell>
          <cell r="J254" t="str">
            <v>否</v>
          </cell>
          <cell r="K254" t="str">
            <v>深圳积木易搭科技技术有限公司</v>
          </cell>
          <cell r="L254" t="str">
            <v/>
          </cell>
          <cell r="M254" t="str">
            <v>2024-09-20 14:00:00</v>
          </cell>
          <cell r="N254" t="str">
            <v>2024-09-20 14:00:00</v>
          </cell>
          <cell r="O254" t="str">
            <v>单涛</v>
          </cell>
          <cell r="P254" t="str">
            <v/>
          </cell>
          <cell r="Q254" t="str">
            <v/>
          </cell>
          <cell r="R254" t="str">
            <v>否</v>
          </cell>
          <cell r="S254" t="str">
            <v/>
          </cell>
          <cell r="T254" t="str">
            <v/>
          </cell>
          <cell r="U254" t="str">
            <v/>
          </cell>
          <cell r="V254" t="str">
            <v/>
          </cell>
          <cell r="W254" t="str">
            <v/>
          </cell>
          <cell r="X254" t="str">
            <v/>
          </cell>
          <cell r="Y254" t="str">
            <v>1050300003</v>
          </cell>
          <cell r="Z254" t="str">
            <v>-</v>
          </cell>
          <cell r="AA254" t="str">
            <v/>
          </cell>
          <cell r="AB254" t="str">
            <v/>
          </cell>
          <cell r="AC254" t="str">
            <v/>
          </cell>
          <cell r="AD254" t="str">
            <v/>
          </cell>
          <cell r="AE254" t="str">
            <v/>
          </cell>
          <cell r="AF254" t="str">
            <v/>
          </cell>
          <cell r="AG254" t="str">
            <v/>
          </cell>
          <cell r="AH254" t="str">
            <v/>
          </cell>
          <cell r="AI254" t="str">
            <v/>
          </cell>
          <cell r="AJ254" t="str">
            <v/>
          </cell>
          <cell r="AK254" t="str">
            <v/>
          </cell>
        </row>
        <row r="255">
          <cell r="A255" t="str">
            <v>1081100081C</v>
          </cell>
          <cell r="B255" t="str">
            <v>Moose/Moose lite说明书</v>
          </cell>
          <cell r="C255" t="str">
            <v/>
          </cell>
          <cell r="D255" t="str">
            <v>个</v>
          </cell>
          <cell r="E255" t="str">
            <v/>
          </cell>
          <cell r="F255" t="str">
            <v>Moose/Moose lite说明书</v>
          </cell>
          <cell r="G255" t="str">
            <v/>
          </cell>
          <cell r="H255" t="str">
            <v>其它物料</v>
          </cell>
          <cell r="I255" t="str">
            <v>否</v>
          </cell>
          <cell r="J255" t="str">
            <v>否</v>
          </cell>
          <cell r="K255" t="str">
            <v>深圳积木易搭科技技术有限公司</v>
          </cell>
          <cell r="L255" t="str">
            <v/>
          </cell>
          <cell r="M255" t="str">
            <v>2024-09-20 13:58:30</v>
          </cell>
          <cell r="N255" t="str">
            <v>2024-09-20 13:58:30</v>
          </cell>
          <cell r="O255" t="str">
            <v>单涛</v>
          </cell>
          <cell r="P255" t="str">
            <v/>
          </cell>
          <cell r="Q255" t="str">
            <v/>
          </cell>
          <cell r="R255" t="str">
            <v>否</v>
          </cell>
          <cell r="S255" t="str">
            <v/>
          </cell>
          <cell r="T255" t="str">
            <v/>
          </cell>
          <cell r="U255" t="str">
            <v/>
          </cell>
          <cell r="V255" t="str">
            <v/>
          </cell>
          <cell r="W255" t="str">
            <v/>
          </cell>
          <cell r="X255" t="str">
            <v/>
          </cell>
          <cell r="Y255" t="str">
            <v>1081100081C</v>
          </cell>
          <cell r="Z255" t="str">
            <v>-</v>
          </cell>
          <cell r="AA255" t="str">
            <v/>
          </cell>
          <cell r="AB255" t="str">
            <v/>
          </cell>
          <cell r="AC255" t="str">
            <v/>
          </cell>
          <cell r="AD255" t="str">
            <v/>
          </cell>
          <cell r="AE255" t="str">
            <v/>
          </cell>
          <cell r="AF255" t="str">
            <v/>
          </cell>
          <cell r="AG255" t="str">
            <v/>
          </cell>
          <cell r="AH255" t="str">
            <v/>
          </cell>
          <cell r="AI255" t="str">
            <v/>
          </cell>
          <cell r="AJ255" t="str">
            <v/>
          </cell>
          <cell r="AK255" t="str">
            <v/>
          </cell>
        </row>
        <row r="256">
          <cell r="A256">
            <v>1080500083</v>
          </cell>
          <cell r="B256" t="str">
            <v>Moose天地盖包装内衬</v>
          </cell>
          <cell r="C256" t="str">
            <v/>
          </cell>
          <cell r="D256" t="str">
            <v>个</v>
          </cell>
          <cell r="E256" t="str">
            <v/>
          </cell>
          <cell r="F256" t="str">
            <v>Moose天地盖包装内衬</v>
          </cell>
          <cell r="G256" t="str">
            <v/>
          </cell>
          <cell r="H256" t="str">
            <v>其它物料</v>
          </cell>
          <cell r="I256" t="str">
            <v>否</v>
          </cell>
          <cell r="J256" t="str">
            <v>否</v>
          </cell>
          <cell r="K256" t="str">
            <v>深圳积木易搭科技技术有限公司</v>
          </cell>
          <cell r="L256" t="str">
            <v/>
          </cell>
          <cell r="M256" t="str">
            <v>2024-09-20 13:56:53</v>
          </cell>
          <cell r="N256" t="str">
            <v>2024-09-20 13:56:53</v>
          </cell>
          <cell r="O256" t="str">
            <v>单涛</v>
          </cell>
          <cell r="P256" t="str">
            <v/>
          </cell>
          <cell r="Q256" t="str">
            <v/>
          </cell>
          <cell r="R256" t="str">
            <v>否</v>
          </cell>
          <cell r="S256" t="str">
            <v/>
          </cell>
          <cell r="T256" t="str">
            <v/>
          </cell>
          <cell r="U256" t="str">
            <v/>
          </cell>
          <cell r="V256" t="str">
            <v/>
          </cell>
          <cell r="W256" t="str">
            <v/>
          </cell>
          <cell r="X256" t="str">
            <v/>
          </cell>
          <cell r="Y256" t="str">
            <v>1080500083</v>
          </cell>
          <cell r="Z256" t="str">
            <v>-</v>
          </cell>
          <cell r="AA256" t="str">
            <v/>
          </cell>
          <cell r="AB256" t="str">
            <v/>
          </cell>
          <cell r="AC256" t="str">
            <v/>
          </cell>
          <cell r="AD256" t="str">
            <v/>
          </cell>
          <cell r="AE256" t="str">
            <v/>
          </cell>
          <cell r="AF256" t="str">
            <v/>
          </cell>
          <cell r="AG256" t="str">
            <v/>
          </cell>
          <cell r="AH256" t="str">
            <v/>
          </cell>
          <cell r="AI256" t="str">
            <v/>
          </cell>
          <cell r="AJ256" t="str">
            <v/>
          </cell>
          <cell r="AK256" t="str">
            <v/>
          </cell>
        </row>
        <row r="257">
          <cell r="A257">
            <v>1080400053</v>
          </cell>
          <cell r="B257" t="str">
            <v>Moose天地盖包装盒</v>
          </cell>
          <cell r="C257" t="str">
            <v/>
          </cell>
          <cell r="D257" t="str">
            <v>套</v>
          </cell>
          <cell r="E257" t="str">
            <v/>
          </cell>
          <cell r="F257" t="str">
            <v>Moose天地盖包装盒</v>
          </cell>
          <cell r="G257" t="str">
            <v/>
          </cell>
          <cell r="H257" t="str">
            <v>其它物料</v>
          </cell>
          <cell r="I257" t="str">
            <v>否</v>
          </cell>
          <cell r="J257" t="str">
            <v>否</v>
          </cell>
          <cell r="K257" t="str">
            <v>深圳积木易搭科技技术有限公司</v>
          </cell>
          <cell r="L257" t="str">
            <v/>
          </cell>
          <cell r="M257" t="str">
            <v>2024-09-20 13:55:26</v>
          </cell>
          <cell r="N257" t="str">
            <v>2024-09-20 13:55:26</v>
          </cell>
          <cell r="O257" t="str">
            <v>单涛</v>
          </cell>
          <cell r="P257" t="str">
            <v/>
          </cell>
          <cell r="Q257" t="str">
            <v/>
          </cell>
          <cell r="R257" t="str">
            <v>否</v>
          </cell>
          <cell r="S257" t="str">
            <v/>
          </cell>
          <cell r="T257" t="str">
            <v/>
          </cell>
          <cell r="U257" t="str">
            <v/>
          </cell>
          <cell r="V257" t="str">
            <v/>
          </cell>
          <cell r="W257" t="str">
            <v/>
          </cell>
          <cell r="X257" t="str">
            <v/>
          </cell>
          <cell r="Y257" t="str">
            <v>1080400053</v>
          </cell>
          <cell r="Z257" t="str">
            <v>-</v>
          </cell>
          <cell r="AA257" t="str">
            <v/>
          </cell>
          <cell r="AB257" t="str">
            <v/>
          </cell>
          <cell r="AC257" t="str">
            <v/>
          </cell>
          <cell r="AD257" t="str">
            <v/>
          </cell>
          <cell r="AE257" t="str">
            <v/>
          </cell>
          <cell r="AF257" t="str">
            <v/>
          </cell>
          <cell r="AG257" t="str">
            <v/>
          </cell>
          <cell r="AH257" t="str">
            <v/>
          </cell>
          <cell r="AI257" t="str">
            <v/>
          </cell>
          <cell r="AJ257" t="str">
            <v/>
          </cell>
          <cell r="AK257" t="str">
            <v/>
          </cell>
        </row>
        <row r="258">
          <cell r="A258">
            <v>1080100030</v>
          </cell>
          <cell r="B258" t="str">
            <v>Lynx升级款物流箱</v>
          </cell>
          <cell r="C258" t="str">
            <v/>
          </cell>
          <cell r="D258" t="str">
            <v>个</v>
          </cell>
          <cell r="E258" t="str">
            <v/>
          </cell>
          <cell r="F258" t="str">
            <v>Lynx升级款物流箱</v>
          </cell>
          <cell r="G258" t="str">
            <v/>
          </cell>
          <cell r="H258" t="str">
            <v>其它物料</v>
          </cell>
          <cell r="I258" t="str">
            <v>否</v>
          </cell>
          <cell r="J258" t="str">
            <v>否</v>
          </cell>
          <cell r="K258" t="str">
            <v>深圳积木易搭科技技术有限公司</v>
          </cell>
          <cell r="L258" t="str">
            <v/>
          </cell>
          <cell r="M258" t="str">
            <v>2024-09-20 13:51:49</v>
          </cell>
          <cell r="N258" t="str">
            <v>2024-09-20 13:51:49</v>
          </cell>
          <cell r="O258" t="str">
            <v>单涛</v>
          </cell>
          <cell r="P258" t="str">
            <v/>
          </cell>
          <cell r="Q258" t="str">
            <v/>
          </cell>
          <cell r="R258" t="str">
            <v>否</v>
          </cell>
          <cell r="S258" t="str">
            <v/>
          </cell>
          <cell r="T258" t="str">
            <v/>
          </cell>
          <cell r="U258" t="str">
            <v/>
          </cell>
          <cell r="V258" t="str">
            <v/>
          </cell>
          <cell r="W258" t="str">
            <v/>
          </cell>
          <cell r="X258" t="str">
            <v/>
          </cell>
          <cell r="Y258" t="str">
            <v>1080100030</v>
          </cell>
          <cell r="Z258" t="str">
            <v>-</v>
          </cell>
          <cell r="AA258" t="str">
            <v/>
          </cell>
          <cell r="AB258" t="str">
            <v/>
          </cell>
          <cell r="AC258" t="str">
            <v/>
          </cell>
          <cell r="AD258" t="str">
            <v/>
          </cell>
          <cell r="AE258" t="str">
            <v/>
          </cell>
          <cell r="AF258" t="str">
            <v/>
          </cell>
          <cell r="AG258" t="str">
            <v/>
          </cell>
          <cell r="AH258" t="str">
            <v/>
          </cell>
          <cell r="AI258" t="str">
            <v/>
          </cell>
          <cell r="AJ258" t="str">
            <v/>
          </cell>
          <cell r="AK258" t="str">
            <v/>
          </cell>
        </row>
        <row r="259">
          <cell r="A259">
            <v>1080500089</v>
          </cell>
          <cell r="B259" t="str">
            <v>Seal套装箱包内衬</v>
          </cell>
          <cell r="C259" t="str">
            <v/>
          </cell>
          <cell r="D259" t="str">
            <v>个</v>
          </cell>
          <cell r="E259" t="str">
            <v/>
          </cell>
          <cell r="F259" t="str">
            <v>Seal套装箱包内衬</v>
          </cell>
          <cell r="G259" t="str">
            <v/>
          </cell>
          <cell r="H259" t="str">
            <v>其它物料</v>
          </cell>
          <cell r="I259" t="str">
            <v>否</v>
          </cell>
          <cell r="J259" t="str">
            <v>否</v>
          </cell>
          <cell r="K259" t="str">
            <v>深圳积木易搭科技技术有限公司</v>
          </cell>
          <cell r="L259" t="str">
            <v/>
          </cell>
          <cell r="M259" t="str">
            <v>2024-09-20 13:50:50</v>
          </cell>
          <cell r="N259" t="str">
            <v>2024-09-20 13:50:50</v>
          </cell>
          <cell r="O259" t="str">
            <v>单涛</v>
          </cell>
          <cell r="P259" t="str">
            <v/>
          </cell>
          <cell r="Q259" t="str">
            <v/>
          </cell>
          <cell r="R259" t="str">
            <v>否</v>
          </cell>
          <cell r="S259" t="str">
            <v/>
          </cell>
          <cell r="T259" t="str">
            <v/>
          </cell>
          <cell r="U259" t="str">
            <v/>
          </cell>
          <cell r="V259" t="str">
            <v/>
          </cell>
          <cell r="W259" t="str">
            <v/>
          </cell>
          <cell r="X259" t="str">
            <v/>
          </cell>
          <cell r="Y259" t="str">
            <v>1080500089</v>
          </cell>
          <cell r="Z259" t="str">
            <v>-</v>
          </cell>
          <cell r="AA259" t="str">
            <v/>
          </cell>
          <cell r="AB259" t="str">
            <v/>
          </cell>
          <cell r="AC259" t="str">
            <v/>
          </cell>
          <cell r="AD259" t="str">
            <v/>
          </cell>
          <cell r="AE259" t="str">
            <v/>
          </cell>
          <cell r="AF259" t="str">
            <v/>
          </cell>
          <cell r="AG259" t="str">
            <v/>
          </cell>
          <cell r="AH259" t="str">
            <v/>
          </cell>
          <cell r="AI259" t="str">
            <v/>
          </cell>
          <cell r="AJ259" t="str">
            <v/>
          </cell>
          <cell r="AK259" t="str">
            <v/>
          </cell>
        </row>
        <row r="260">
          <cell r="A260">
            <v>1080400059</v>
          </cell>
          <cell r="B260" t="str">
            <v>Moose/Seal套装外包装盒</v>
          </cell>
          <cell r="C260" t="str">
            <v/>
          </cell>
          <cell r="D260" t="str">
            <v>个</v>
          </cell>
          <cell r="E260" t="str">
            <v/>
          </cell>
          <cell r="F260" t="str">
            <v>Moose/Seal套装外包装盒</v>
          </cell>
          <cell r="G260" t="str">
            <v/>
          </cell>
          <cell r="H260" t="str">
            <v>其它物料</v>
          </cell>
          <cell r="I260" t="str">
            <v>否</v>
          </cell>
          <cell r="J260" t="str">
            <v>否</v>
          </cell>
          <cell r="K260" t="str">
            <v>深圳积木易搭科技技术有限公司</v>
          </cell>
          <cell r="L260" t="str">
            <v/>
          </cell>
          <cell r="M260" t="str">
            <v>2024-09-20 13:49:40</v>
          </cell>
          <cell r="N260" t="str">
            <v>2024-09-20 13:49:40</v>
          </cell>
          <cell r="O260" t="str">
            <v>单涛</v>
          </cell>
          <cell r="P260" t="str">
            <v/>
          </cell>
          <cell r="Q260" t="str">
            <v/>
          </cell>
          <cell r="R260" t="str">
            <v>否</v>
          </cell>
          <cell r="S260" t="str">
            <v/>
          </cell>
          <cell r="T260" t="str">
            <v/>
          </cell>
          <cell r="U260" t="str">
            <v/>
          </cell>
          <cell r="V260" t="str">
            <v/>
          </cell>
          <cell r="W260" t="str">
            <v/>
          </cell>
          <cell r="X260" t="str">
            <v/>
          </cell>
          <cell r="Y260" t="str">
            <v>1080400059</v>
          </cell>
          <cell r="Z260" t="str">
            <v>-</v>
          </cell>
          <cell r="AA260" t="str">
            <v/>
          </cell>
          <cell r="AB260" t="str">
            <v/>
          </cell>
          <cell r="AC260" t="str">
            <v/>
          </cell>
          <cell r="AD260" t="str">
            <v/>
          </cell>
          <cell r="AE260" t="str">
            <v/>
          </cell>
          <cell r="AF260" t="str">
            <v/>
          </cell>
          <cell r="AG260" t="str">
            <v/>
          </cell>
          <cell r="AH260" t="str">
            <v/>
          </cell>
          <cell r="AI260" t="str">
            <v/>
          </cell>
          <cell r="AJ260" t="str">
            <v/>
          </cell>
          <cell r="AK260" t="str">
            <v/>
          </cell>
        </row>
        <row r="261">
          <cell r="A261">
            <v>1080200010</v>
          </cell>
          <cell r="B261" t="str">
            <v>Moose套装箱包</v>
          </cell>
          <cell r="C261" t="str">
            <v/>
          </cell>
          <cell r="D261" t="str">
            <v>个</v>
          </cell>
          <cell r="E261" t="str">
            <v/>
          </cell>
          <cell r="F261" t="str">
            <v>Moose套装箱包</v>
          </cell>
          <cell r="G261" t="str">
            <v/>
          </cell>
          <cell r="H261" t="str">
            <v>其它物料</v>
          </cell>
          <cell r="I261" t="str">
            <v>否</v>
          </cell>
          <cell r="J261" t="str">
            <v>否</v>
          </cell>
          <cell r="K261" t="str">
            <v>深圳积木易搭科技技术有限公司</v>
          </cell>
          <cell r="L261" t="str">
            <v/>
          </cell>
          <cell r="M261" t="str">
            <v>2024-09-20 13:48:20</v>
          </cell>
          <cell r="N261" t="str">
            <v>2024-09-20 13:48:20</v>
          </cell>
          <cell r="O261" t="str">
            <v>单涛</v>
          </cell>
          <cell r="P261" t="str">
            <v/>
          </cell>
          <cell r="Q261" t="str">
            <v/>
          </cell>
          <cell r="R261" t="str">
            <v>否</v>
          </cell>
          <cell r="S261" t="str">
            <v/>
          </cell>
          <cell r="T261" t="str">
            <v/>
          </cell>
          <cell r="U261" t="str">
            <v/>
          </cell>
          <cell r="V261" t="str">
            <v/>
          </cell>
          <cell r="W261" t="str">
            <v/>
          </cell>
          <cell r="X261" t="str">
            <v/>
          </cell>
          <cell r="Y261" t="str">
            <v>1080200010</v>
          </cell>
          <cell r="Z261" t="str">
            <v>-</v>
          </cell>
          <cell r="AA261" t="str">
            <v/>
          </cell>
          <cell r="AB261" t="str">
            <v/>
          </cell>
          <cell r="AC261" t="str">
            <v/>
          </cell>
          <cell r="AD261" t="str">
            <v/>
          </cell>
          <cell r="AE261" t="str">
            <v/>
          </cell>
          <cell r="AF261" t="str">
            <v/>
          </cell>
          <cell r="AG261" t="str">
            <v/>
          </cell>
          <cell r="AH261" t="str">
            <v/>
          </cell>
          <cell r="AI261" t="str">
            <v/>
          </cell>
          <cell r="AJ261" t="str">
            <v/>
          </cell>
          <cell r="AK261" t="str">
            <v/>
          </cell>
        </row>
        <row r="262">
          <cell r="A262">
            <v>1050400035</v>
          </cell>
          <cell r="B262" t="str">
            <v>三脚架</v>
          </cell>
          <cell r="C262" t="str">
            <v/>
          </cell>
          <cell r="D262" t="str">
            <v>个</v>
          </cell>
          <cell r="E262" t="str">
            <v/>
          </cell>
          <cell r="F262" t="str">
            <v>三脚架</v>
          </cell>
          <cell r="G262" t="str">
            <v/>
          </cell>
          <cell r="H262" t="str">
            <v>其它物料</v>
          </cell>
          <cell r="I262" t="str">
            <v>否</v>
          </cell>
          <cell r="J262" t="str">
            <v>否</v>
          </cell>
          <cell r="K262" t="str">
            <v>深圳积木易搭科技技术有限公司</v>
          </cell>
          <cell r="L262" t="str">
            <v/>
          </cell>
          <cell r="M262" t="str">
            <v>2024-09-20 13:45:43</v>
          </cell>
          <cell r="N262" t="str">
            <v>2025-03-26 11:29:20</v>
          </cell>
          <cell r="O262" t="str">
            <v>单涛</v>
          </cell>
          <cell r="P262" t="str">
            <v/>
          </cell>
          <cell r="Q262" t="str">
            <v/>
          </cell>
          <cell r="R262" t="str">
            <v>否</v>
          </cell>
          <cell r="S262" t="str">
            <v/>
          </cell>
          <cell r="T262" t="str">
            <v/>
          </cell>
          <cell r="U262" t="str">
            <v/>
          </cell>
          <cell r="V262" t="str">
            <v/>
          </cell>
          <cell r="W262" t="str">
            <v/>
          </cell>
          <cell r="X262" t="str">
            <v/>
          </cell>
          <cell r="Y262" t="str">
            <v>1050400035</v>
          </cell>
          <cell r="Z262" t="str">
            <v>-</v>
          </cell>
          <cell r="AA262" t="str">
            <v/>
          </cell>
          <cell r="AB262" t="str">
            <v/>
          </cell>
          <cell r="AC262" t="str">
            <v/>
          </cell>
          <cell r="AD262" t="str">
            <v/>
          </cell>
          <cell r="AE262" t="str">
            <v/>
          </cell>
          <cell r="AF262" t="str">
            <v/>
          </cell>
          <cell r="AG262" t="str">
            <v/>
          </cell>
          <cell r="AH262" t="str">
            <v/>
          </cell>
          <cell r="AI262" t="str">
            <v/>
          </cell>
          <cell r="AJ262" t="str">
            <v>9620009000</v>
          </cell>
          <cell r="AK262" t="str">
            <v/>
          </cell>
        </row>
        <row r="263">
          <cell r="A263">
            <v>1080100027</v>
          </cell>
          <cell r="B263" t="str">
            <v>mole物流箱1#</v>
          </cell>
          <cell r="C263" t="str">
            <v/>
          </cell>
          <cell r="D263" t="str">
            <v>个</v>
          </cell>
          <cell r="E263" t="str">
            <v/>
          </cell>
          <cell r="F263" t="str">
            <v>mole物流箱1#</v>
          </cell>
          <cell r="G263" t="str">
            <v/>
          </cell>
          <cell r="H263" t="str">
            <v>其它物料</v>
          </cell>
          <cell r="I263" t="str">
            <v>否</v>
          </cell>
          <cell r="J263" t="str">
            <v>否</v>
          </cell>
          <cell r="K263" t="str">
            <v>深圳积木易搭科技技术有限公司</v>
          </cell>
          <cell r="L263" t="str">
            <v/>
          </cell>
          <cell r="M263" t="str">
            <v>2024-09-20 13:42:28</v>
          </cell>
          <cell r="N263" t="str">
            <v>2024-09-20 13:42:28</v>
          </cell>
          <cell r="O263" t="str">
            <v>单涛</v>
          </cell>
          <cell r="P263" t="str">
            <v/>
          </cell>
          <cell r="Q263" t="str">
            <v/>
          </cell>
          <cell r="R263" t="str">
            <v>否</v>
          </cell>
          <cell r="S263" t="str">
            <v/>
          </cell>
          <cell r="T263" t="str">
            <v/>
          </cell>
          <cell r="U263" t="str">
            <v/>
          </cell>
          <cell r="V263" t="str">
            <v/>
          </cell>
          <cell r="W263" t="str">
            <v/>
          </cell>
          <cell r="X263" t="str">
            <v/>
          </cell>
          <cell r="Y263" t="str">
            <v>1080100027</v>
          </cell>
          <cell r="Z263" t="str">
            <v>-</v>
          </cell>
          <cell r="AA263" t="str">
            <v/>
          </cell>
          <cell r="AB263" t="str">
            <v/>
          </cell>
          <cell r="AC263" t="str">
            <v/>
          </cell>
          <cell r="AD263" t="str">
            <v/>
          </cell>
          <cell r="AE263" t="str">
            <v/>
          </cell>
          <cell r="AF263" t="str">
            <v/>
          </cell>
          <cell r="AG263" t="str">
            <v/>
          </cell>
          <cell r="AH263" t="str">
            <v/>
          </cell>
          <cell r="AI263" t="str">
            <v/>
          </cell>
          <cell r="AJ263" t="str">
            <v/>
          </cell>
          <cell r="AK263" t="str">
            <v/>
          </cell>
        </row>
        <row r="264">
          <cell r="A264">
            <v>1081000140</v>
          </cell>
          <cell r="B264" t="str">
            <v>欧洲合规标签</v>
          </cell>
          <cell r="C264" t="str">
            <v/>
          </cell>
          <cell r="D264" t="str">
            <v>个</v>
          </cell>
          <cell r="E264" t="str">
            <v/>
          </cell>
          <cell r="F264" t="str">
            <v>欧洲合规标签</v>
          </cell>
          <cell r="G264" t="str">
            <v/>
          </cell>
          <cell r="H264" t="str">
            <v>其它物料</v>
          </cell>
          <cell r="I264" t="str">
            <v>否</v>
          </cell>
          <cell r="J264" t="str">
            <v>否</v>
          </cell>
          <cell r="K264" t="str">
            <v>深圳积木易搭科技技术有限公司</v>
          </cell>
          <cell r="L264" t="str">
            <v/>
          </cell>
          <cell r="M264" t="str">
            <v>2024-09-20 13:41:17</v>
          </cell>
          <cell r="N264" t="str">
            <v>2024-09-20 13:41:17</v>
          </cell>
          <cell r="O264" t="str">
            <v>单涛</v>
          </cell>
          <cell r="P264" t="str">
            <v/>
          </cell>
          <cell r="Q264" t="str">
            <v/>
          </cell>
          <cell r="R264" t="str">
            <v>否</v>
          </cell>
          <cell r="S264" t="str">
            <v/>
          </cell>
          <cell r="T264" t="str">
            <v/>
          </cell>
          <cell r="U264" t="str">
            <v/>
          </cell>
          <cell r="V264" t="str">
            <v/>
          </cell>
          <cell r="W264" t="str">
            <v/>
          </cell>
          <cell r="X264" t="str">
            <v/>
          </cell>
          <cell r="Y264" t="str">
            <v>1081000140</v>
          </cell>
          <cell r="Z264" t="str">
            <v>-</v>
          </cell>
          <cell r="AA264" t="str">
            <v/>
          </cell>
          <cell r="AB264" t="str">
            <v/>
          </cell>
          <cell r="AC264" t="str">
            <v/>
          </cell>
          <cell r="AD264" t="str">
            <v/>
          </cell>
          <cell r="AE264" t="str">
            <v/>
          </cell>
          <cell r="AF264" t="str">
            <v/>
          </cell>
          <cell r="AG264" t="str">
            <v/>
          </cell>
          <cell r="AH264" t="str">
            <v/>
          </cell>
          <cell r="AI264" t="str">
            <v/>
          </cell>
          <cell r="AJ264" t="str">
            <v/>
          </cell>
          <cell r="AK264" t="str">
            <v/>
          </cell>
        </row>
        <row r="265">
          <cell r="A265">
            <v>1081100024</v>
          </cell>
          <cell r="B265" t="str">
            <v>欧代标签</v>
          </cell>
          <cell r="C265" t="str">
            <v/>
          </cell>
          <cell r="D265" t="str">
            <v>个</v>
          </cell>
          <cell r="E265" t="str">
            <v/>
          </cell>
          <cell r="F265" t="str">
            <v>欧代标签</v>
          </cell>
          <cell r="G265" t="str">
            <v/>
          </cell>
          <cell r="H265" t="str">
            <v>其它物料</v>
          </cell>
          <cell r="I265" t="str">
            <v>否</v>
          </cell>
          <cell r="J265" t="str">
            <v>否</v>
          </cell>
          <cell r="K265" t="str">
            <v>深圳积木易搭科技技术有限公司</v>
          </cell>
          <cell r="L265" t="str">
            <v/>
          </cell>
          <cell r="M265" t="str">
            <v>2024-09-20 13:40:17</v>
          </cell>
          <cell r="N265" t="str">
            <v>2024-09-20 13:40:17</v>
          </cell>
          <cell r="O265" t="str">
            <v>单涛</v>
          </cell>
          <cell r="P265" t="str">
            <v/>
          </cell>
          <cell r="Q265" t="str">
            <v/>
          </cell>
          <cell r="R265" t="str">
            <v>否</v>
          </cell>
          <cell r="S265" t="str">
            <v/>
          </cell>
          <cell r="T265" t="str">
            <v/>
          </cell>
          <cell r="U265" t="str">
            <v/>
          </cell>
          <cell r="V265" t="str">
            <v/>
          </cell>
          <cell r="W265" t="str">
            <v/>
          </cell>
          <cell r="X265" t="str">
            <v/>
          </cell>
          <cell r="Y265" t="str">
            <v>1081100024</v>
          </cell>
          <cell r="Z265" t="str">
            <v>-</v>
          </cell>
          <cell r="AA265" t="str">
            <v/>
          </cell>
          <cell r="AB265" t="str">
            <v/>
          </cell>
          <cell r="AC265" t="str">
            <v/>
          </cell>
          <cell r="AD265" t="str">
            <v/>
          </cell>
          <cell r="AE265" t="str">
            <v/>
          </cell>
          <cell r="AF265" t="str">
            <v/>
          </cell>
          <cell r="AG265" t="str">
            <v/>
          </cell>
          <cell r="AH265" t="str">
            <v/>
          </cell>
          <cell r="AI265" t="str">
            <v/>
          </cell>
          <cell r="AJ265" t="str">
            <v/>
          </cell>
          <cell r="AK265" t="str">
            <v/>
          </cell>
        </row>
        <row r="266">
          <cell r="A266">
            <v>1060100013</v>
          </cell>
          <cell r="B266" t="str">
            <v>相机螺钉(1/4英寸)</v>
          </cell>
          <cell r="C266" t="str">
            <v/>
          </cell>
          <cell r="D266" t="str">
            <v>个</v>
          </cell>
          <cell r="E266" t="str">
            <v/>
          </cell>
          <cell r="F266" t="str">
            <v>相机螺钉(1/4英寸)</v>
          </cell>
          <cell r="G266" t="str">
            <v/>
          </cell>
          <cell r="H266" t="str">
            <v>三维扫描仪备品备件</v>
          </cell>
          <cell r="I266" t="str">
            <v>否</v>
          </cell>
          <cell r="J266" t="str">
            <v>否</v>
          </cell>
          <cell r="K266" t="str">
            <v>深圳积木易搭科技技术有限公司</v>
          </cell>
          <cell r="L266" t="str">
            <v/>
          </cell>
          <cell r="M266" t="str">
            <v>2024-09-20 11:58:23</v>
          </cell>
          <cell r="N266" t="str">
            <v>2024-09-20 11:58:23</v>
          </cell>
          <cell r="O266" t="str">
            <v>单涛</v>
          </cell>
          <cell r="P266" t="str">
            <v/>
          </cell>
          <cell r="Q266" t="str">
            <v/>
          </cell>
          <cell r="R266" t="str">
            <v>否</v>
          </cell>
          <cell r="S266" t="str">
            <v/>
          </cell>
          <cell r="T266" t="str">
            <v/>
          </cell>
          <cell r="U266" t="str">
            <v/>
          </cell>
          <cell r="V266" t="str">
            <v/>
          </cell>
          <cell r="W266" t="str">
            <v/>
          </cell>
          <cell r="X266" t="str">
            <v/>
          </cell>
          <cell r="Y266" t="str">
            <v>1060100013</v>
          </cell>
          <cell r="Z266" t="str">
            <v>-</v>
          </cell>
          <cell r="AA266" t="str">
            <v/>
          </cell>
          <cell r="AB266" t="str">
            <v/>
          </cell>
          <cell r="AC266" t="str">
            <v/>
          </cell>
          <cell r="AD266" t="str">
            <v/>
          </cell>
          <cell r="AE266" t="str">
            <v/>
          </cell>
          <cell r="AF266" t="str">
            <v/>
          </cell>
          <cell r="AG266" t="str">
            <v/>
          </cell>
          <cell r="AH266" t="str">
            <v/>
          </cell>
          <cell r="AI266" t="str">
            <v/>
          </cell>
          <cell r="AJ266" t="str">
            <v/>
          </cell>
          <cell r="AK266" t="str">
            <v/>
          </cell>
        </row>
        <row r="267">
          <cell r="A267" t="str">
            <v>1040600008B</v>
          </cell>
          <cell r="B267" t="str">
            <v>澳规插头黑色</v>
          </cell>
          <cell r="C267" t="str">
            <v/>
          </cell>
          <cell r="D267" t="str">
            <v>个</v>
          </cell>
          <cell r="E267" t="str">
            <v/>
          </cell>
          <cell r="F267" t="str">
            <v>澳规插头黑色</v>
          </cell>
          <cell r="G267" t="str">
            <v/>
          </cell>
          <cell r="H267" t="str">
            <v>三维扫描仪备品备件</v>
          </cell>
          <cell r="I267" t="str">
            <v>否</v>
          </cell>
          <cell r="J267" t="str">
            <v>否</v>
          </cell>
          <cell r="K267" t="str">
            <v>深圳积木易搭科技技术有限公司</v>
          </cell>
          <cell r="L267" t="str">
            <v/>
          </cell>
          <cell r="M267" t="str">
            <v>2024-09-20 11:56:36</v>
          </cell>
          <cell r="N267" t="str">
            <v>2024-09-20 11:56:36</v>
          </cell>
          <cell r="O267" t="str">
            <v>单涛</v>
          </cell>
          <cell r="P267" t="str">
            <v/>
          </cell>
          <cell r="Q267" t="str">
            <v/>
          </cell>
          <cell r="R267" t="str">
            <v>否</v>
          </cell>
          <cell r="S267" t="str">
            <v/>
          </cell>
          <cell r="T267" t="str">
            <v/>
          </cell>
          <cell r="U267" t="str">
            <v/>
          </cell>
          <cell r="V267" t="str">
            <v/>
          </cell>
          <cell r="W267" t="str">
            <v/>
          </cell>
          <cell r="X267" t="str">
            <v/>
          </cell>
          <cell r="Y267" t="str">
            <v>1040600008B</v>
          </cell>
          <cell r="Z267" t="str">
            <v>-</v>
          </cell>
          <cell r="AA267" t="str">
            <v/>
          </cell>
          <cell r="AB267" t="str">
            <v/>
          </cell>
          <cell r="AC267" t="str">
            <v/>
          </cell>
          <cell r="AD267" t="str">
            <v/>
          </cell>
          <cell r="AE267" t="str">
            <v/>
          </cell>
          <cell r="AF267" t="str">
            <v/>
          </cell>
          <cell r="AG267" t="str">
            <v/>
          </cell>
          <cell r="AH267" t="str">
            <v/>
          </cell>
          <cell r="AI267" t="str">
            <v/>
          </cell>
          <cell r="AJ267" t="str">
            <v/>
          </cell>
          <cell r="AK267" t="str">
            <v/>
          </cell>
        </row>
        <row r="268">
          <cell r="A268" t="str">
            <v>1040600006B</v>
          </cell>
          <cell r="B268" t="str">
            <v>英规插头黑色</v>
          </cell>
          <cell r="C268" t="str">
            <v/>
          </cell>
          <cell r="D268" t="str">
            <v>个</v>
          </cell>
          <cell r="E268" t="str">
            <v/>
          </cell>
          <cell r="F268" t="str">
            <v>英规插头黑色</v>
          </cell>
          <cell r="G268" t="str">
            <v/>
          </cell>
          <cell r="H268" t="str">
            <v>三维扫描仪备品备件</v>
          </cell>
          <cell r="I268" t="str">
            <v>否</v>
          </cell>
          <cell r="J268" t="str">
            <v>否</v>
          </cell>
          <cell r="K268" t="str">
            <v>深圳积木易搭科技技术有限公司</v>
          </cell>
          <cell r="L268" t="str">
            <v/>
          </cell>
          <cell r="M268" t="str">
            <v>2024-09-20 11:54:30</v>
          </cell>
          <cell r="N268" t="str">
            <v>2024-09-20 11:54:30</v>
          </cell>
          <cell r="O268" t="str">
            <v>单涛</v>
          </cell>
          <cell r="P268" t="str">
            <v/>
          </cell>
          <cell r="Q268" t="str">
            <v/>
          </cell>
          <cell r="R268" t="str">
            <v>否</v>
          </cell>
          <cell r="S268" t="str">
            <v/>
          </cell>
          <cell r="T268" t="str">
            <v/>
          </cell>
          <cell r="U268" t="str">
            <v/>
          </cell>
          <cell r="V268" t="str">
            <v/>
          </cell>
          <cell r="W268" t="str">
            <v/>
          </cell>
          <cell r="X268" t="str">
            <v/>
          </cell>
          <cell r="Y268" t="str">
            <v>1040600006B</v>
          </cell>
          <cell r="Z268" t="str">
            <v>-</v>
          </cell>
          <cell r="AA268" t="str">
            <v/>
          </cell>
          <cell r="AB268" t="str">
            <v/>
          </cell>
          <cell r="AC268" t="str">
            <v/>
          </cell>
          <cell r="AD268" t="str">
            <v/>
          </cell>
          <cell r="AE268" t="str">
            <v/>
          </cell>
          <cell r="AF268" t="str">
            <v/>
          </cell>
          <cell r="AG268" t="str">
            <v/>
          </cell>
          <cell r="AH268" t="str">
            <v/>
          </cell>
          <cell r="AI268" t="str">
            <v/>
          </cell>
          <cell r="AJ268" t="str">
            <v/>
          </cell>
          <cell r="AK268" t="str">
            <v/>
          </cell>
        </row>
        <row r="269">
          <cell r="A269" t="str">
            <v>1081100036C</v>
          </cell>
          <cell r="B269" t="str">
            <v>Mole说明书</v>
          </cell>
          <cell r="C269" t="str">
            <v/>
          </cell>
          <cell r="D269" t="str">
            <v>个</v>
          </cell>
          <cell r="E269" t="str">
            <v/>
          </cell>
          <cell r="F269" t="str">
            <v>Mole说明书</v>
          </cell>
          <cell r="G269" t="str">
            <v/>
          </cell>
          <cell r="H269" t="str">
            <v>其它物料</v>
          </cell>
          <cell r="I269" t="str">
            <v>否</v>
          </cell>
          <cell r="J269" t="str">
            <v>否</v>
          </cell>
          <cell r="K269" t="str">
            <v>深圳积木易搭科技技术有限公司</v>
          </cell>
          <cell r="L269" t="str">
            <v/>
          </cell>
          <cell r="M269" t="str">
            <v>2024-09-20 11:50:48</v>
          </cell>
          <cell r="N269" t="str">
            <v>2024-09-20 11:50:48</v>
          </cell>
          <cell r="O269" t="str">
            <v>单涛</v>
          </cell>
          <cell r="P269" t="str">
            <v/>
          </cell>
          <cell r="Q269" t="str">
            <v/>
          </cell>
          <cell r="R269" t="str">
            <v>否</v>
          </cell>
          <cell r="S269" t="str">
            <v/>
          </cell>
          <cell r="T269" t="str">
            <v/>
          </cell>
          <cell r="U269" t="str">
            <v/>
          </cell>
          <cell r="V269" t="str">
            <v/>
          </cell>
          <cell r="W269" t="str">
            <v/>
          </cell>
          <cell r="X269" t="str">
            <v/>
          </cell>
          <cell r="Y269" t="str">
            <v>1081100036C</v>
          </cell>
          <cell r="Z269" t="str">
            <v>-</v>
          </cell>
          <cell r="AA269" t="str">
            <v/>
          </cell>
          <cell r="AB269" t="str">
            <v/>
          </cell>
          <cell r="AC269" t="str">
            <v/>
          </cell>
          <cell r="AD269" t="str">
            <v/>
          </cell>
          <cell r="AE269" t="str">
            <v/>
          </cell>
          <cell r="AF269" t="str">
            <v/>
          </cell>
          <cell r="AG269" t="str">
            <v/>
          </cell>
          <cell r="AH269" t="str">
            <v/>
          </cell>
          <cell r="AI269" t="str">
            <v/>
          </cell>
          <cell r="AJ269" t="str">
            <v/>
          </cell>
          <cell r="AK269" t="str">
            <v/>
          </cell>
        </row>
        <row r="270">
          <cell r="A270">
            <v>1080800007</v>
          </cell>
          <cell r="B270" t="str">
            <v>金属扎带</v>
          </cell>
          <cell r="C270" t="str">
            <v/>
          </cell>
          <cell r="D270" t="str">
            <v>根</v>
          </cell>
          <cell r="E270" t="str">
            <v/>
          </cell>
          <cell r="F270" t="str">
            <v>金属扎带</v>
          </cell>
          <cell r="G270" t="str">
            <v/>
          </cell>
          <cell r="H270" t="str">
            <v>其它物料</v>
          </cell>
          <cell r="I270" t="str">
            <v>否</v>
          </cell>
          <cell r="J270" t="str">
            <v>否</v>
          </cell>
          <cell r="K270" t="str">
            <v>深圳积木易搭科技技术有限公司</v>
          </cell>
          <cell r="L270" t="str">
            <v/>
          </cell>
          <cell r="M270" t="str">
            <v>2024-09-20 11:49:37</v>
          </cell>
          <cell r="N270" t="str">
            <v>2024-09-20 11:49:37</v>
          </cell>
          <cell r="O270" t="str">
            <v>单涛</v>
          </cell>
          <cell r="P270" t="str">
            <v/>
          </cell>
          <cell r="Q270" t="str">
            <v/>
          </cell>
          <cell r="R270" t="str">
            <v>否</v>
          </cell>
          <cell r="S270" t="str">
            <v/>
          </cell>
          <cell r="T270" t="str">
            <v/>
          </cell>
          <cell r="U270" t="str">
            <v/>
          </cell>
          <cell r="V270" t="str">
            <v/>
          </cell>
          <cell r="W270" t="str">
            <v/>
          </cell>
          <cell r="X270" t="str">
            <v/>
          </cell>
          <cell r="Y270" t="str">
            <v>1080800007</v>
          </cell>
          <cell r="Z270" t="str">
            <v>-</v>
          </cell>
          <cell r="AA270" t="str">
            <v/>
          </cell>
          <cell r="AB270" t="str">
            <v/>
          </cell>
          <cell r="AC270" t="str">
            <v/>
          </cell>
          <cell r="AD270" t="str">
            <v/>
          </cell>
          <cell r="AE270" t="str">
            <v/>
          </cell>
          <cell r="AF270" t="str">
            <v/>
          </cell>
          <cell r="AG270" t="str">
            <v/>
          </cell>
          <cell r="AH270" t="str">
            <v/>
          </cell>
          <cell r="AI270" t="str">
            <v/>
          </cell>
          <cell r="AJ270" t="str">
            <v/>
          </cell>
          <cell r="AK270" t="str">
            <v/>
          </cell>
        </row>
        <row r="271">
          <cell r="A271">
            <v>1050400020</v>
          </cell>
          <cell r="B271" t="str">
            <v>延长杆</v>
          </cell>
          <cell r="C271" t="str">
            <v/>
          </cell>
          <cell r="D271" t="str">
            <v>个</v>
          </cell>
          <cell r="E271" t="str">
            <v/>
          </cell>
          <cell r="F271" t="str">
            <v>延长杆</v>
          </cell>
          <cell r="G271" t="str">
            <v/>
          </cell>
          <cell r="H271" t="str">
            <v>三维扫描仪备品备件</v>
          </cell>
          <cell r="I271" t="str">
            <v>否</v>
          </cell>
          <cell r="J271" t="str">
            <v>否</v>
          </cell>
          <cell r="K271" t="str">
            <v>深圳积木易搭科技技术有限公司</v>
          </cell>
          <cell r="L271" t="str">
            <v/>
          </cell>
          <cell r="M271" t="str">
            <v>2024-09-20 11:47:15</v>
          </cell>
          <cell r="N271" t="str">
            <v>2024-09-20 11:47:15</v>
          </cell>
          <cell r="O271" t="str">
            <v>单涛</v>
          </cell>
          <cell r="P271" t="str">
            <v/>
          </cell>
          <cell r="Q271" t="str">
            <v/>
          </cell>
          <cell r="R271" t="str">
            <v>否</v>
          </cell>
          <cell r="S271" t="str">
            <v/>
          </cell>
          <cell r="T271" t="str">
            <v/>
          </cell>
          <cell r="U271" t="str">
            <v/>
          </cell>
          <cell r="V271" t="str">
            <v/>
          </cell>
          <cell r="W271" t="str">
            <v/>
          </cell>
          <cell r="X271" t="str">
            <v/>
          </cell>
          <cell r="Y271" t="str">
            <v>1050400020</v>
          </cell>
          <cell r="Z271" t="str">
            <v>-</v>
          </cell>
          <cell r="AA271" t="str">
            <v/>
          </cell>
          <cell r="AB271" t="str">
            <v/>
          </cell>
          <cell r="AC271" t="str">
            <v/>
          </cell>
          <cell r="AD271" t="str">
            <v/>
          </cell>
          <cell r="AE271" t="str">
            <v/>
          </cell>
          <cell r="AF271" t="str">
            <v/>
          </cell>
          <cell r="AG271" t="str">
            <v/>
          </cell>
          <cell r="AH271" t="str">
            <v/>
          </cell>
          <cell r="AI271" t="str">
            <v/>
          </cell>
          <cell r="AJ271" t="str">
            <v/>
          </cell>
          <cell r="AK271" t="str">
            <v/>
          </cell>
        </row>
        <row r="272">
          <cell r="A272">
            <v>1050100010</v>
          </cell>
          <cell r="B272" t="str">
            <v>mole三脚架</v>
          </cell>
          <cell r="C272" t="str">
            <v/>
          </cell>
          <cell r="D272" t="str">
            <v>个</v>
          </cell>
          <cell r="E272" t="str">
            <v/>
          </cell>
          <cell r="F272" t="str">
            <v>mole三脚架</v>
          </cell>
          <cell r="G272" t="str">
            <v/>
          </cell>
          <cell r="H272" t="str">
            <v>三维扫描仪备品备件</v>
          </cell>
          <cell r="I272" t="str">
            <v>否</v>
          </cell>
          <cell r="J272" t="str">
            <v>否</v>
          </cell>
          <cell r="K272" t="str">
            <v>深圳积木易搭科技技术有限公司</v>
          </cell>
          <cell r="L272" t="str">
            <v/>
          </cell>
          <cell r="M272" t="str">
            <v>2024-09-20 11:46:01</v>
          </cell>
          <cell r="N272" t="str">
            <v>2025-03-26 11:29:30</v>
          </cell>
          <cell r="O272" t="str">
            <v>单涛</v>
          </cell>
          <cell r="P272" t="str">
            <v/>
          </cell>
          <cell r="Q272" t="str">
            <v/>
          </cell>
          <cell r="R272" t="str">
            <v>否</v>
          </cell>
          <cell r="S272" t="str">
            <v/>
          </cell>
          <cell r="T272" t="str">
            <v/>
          </cell>
          <cell r="U272" t="str">
            <v/>
          </cell>
          <cell r="V272" t="str">
            <v/>
          </cell>
          <cell r="W272" t="str">
            <v/>
          </cell>
          <cell r="X272" t="str">
            <v/>
          </cell>
          <cell r="Y272" t="str">
            <v>1050100010</v>
          </cell>
          <cell r="Z272" t="str">
            <v>-</v>
          </cell>
          <cell r="AA272" t="str">
            <v/>
          </cell>
          <cell r="AB272" t="str">
            <v/>
          </cell>
          <cell r="AC272" t="str">
            <v/>
          </cell>
          <cell r="AD272" t="str">
            <v/>
          </cell>
          <cell r="AE272" t="str">
            <v/>
          </cell>
          <cell r="AF272" t="str">
            <v/>
          </cell>
          <cell r="AG272" t="str">
            <v/>
          </cell>
          <cell r="AH272" t="str">
            <v/>
          </cell>
          <cell r="AI272" t="str">
            <v/>
          </cell>
          <cell r="AJ272" t="str">
            <v>9620009000</v>
          </cell>
          <cell r="AK272" t="str">
            <v/>
          </cell>
        </row>
        <row r="273">
          <cell r="A273">
            <v>1080400022</v>
          </cell>
          <cell r="B273" t="str">
            <v>mole手提包外纸盒</v>
          </cell>
          <cell r="C273" t="str">
            <v/>
          </cell>
          <cell r="D273" t="str">
            <v>个</v>
          </cell>
          <cell r="E273" t="str">
            <v/>
          </cell>
          <cell r="F273" t="str">
            <v>mole手提包外纸盒</v>
          </cell>
          <cell r="G273" t="str">
            <v/>
          </cell>
          <cell r="H273" t="str">
            <v>其它物料</v>
          </cell>
          <cell r="I273" t="str">
            <v>否</v>
          </cell>
          <cell r="J273" t="str">
            <v>否</v>
          </cell>
          <cell r="K273" t="str">
            <v>深圳积木易搭科技技术有限公司</v>
          </cell>
          <cell r="L273" t="str">
            <v/>
          </cell>
          <cell r="M273" t="str">
            <v>2024-09-20 11:43:28</v>
          </cell>
          <cell r="N273" t="str">
            <v>2024-09-20 11:43:28</v>
          </cell>
          <cell r="O273" t="str">
            <v>单涛</v>
          </cell>
          <cell r="P273" t="str">
            <v/>
          </cell>
          <cell r="Q273" t="str">
            <v/>
          </cell>
          <cell r="R273" t="str">
            <v>否</v>
          </cell>
          <cell r="S273" t="str">
            <v/>
          </cell>
          <cell r="T273" t="str">
            <v/>
          </cell>
          <cell r="U273" t="str">
            <v/>
          </cell>
          <cell r="V273" t="str">
            <v/>
          </cell>
          <cell r="W273" t="str">
            <v/>
          </cell>
          <cell r="X273" t="str">
            <v/>
          </cell>
          <cell r="Y273" t="str">
            <v>1080400022</v>
          </cell>
          <cell r="Z273" t="str">
            <v>-</v>
          </cell>
          <cell r="AA273" t="str">
            <v/>
          </cell>
          <cell r="AB273" t="str">
            <v/>
          </cell>
          <cell r="AC273" t="str">
            <v/>
          </cell>
          <cell r="AD273" t="str">
            <v/>
          </cell>
          <cell r="AE273" t="str">
            <v/>
          </cell>
          <cell r="AF273" t="str">
            <v/>
          </cell>
          <cell r="AG273" t="str">
            <v/>
          </cell>
          <cell r="AH273" t="str">
            <v/>
          </cell>
          <cell r="AI273" t="str">
            <v/>
          </cell>
          <cell r="AJ273" t="str">
            <v/>
          </cell>
          <cell r="AK273" t="str">
            <v/>
          </cell>
        </row>
        <row r="274">
          <cell r="A274">
            <v>1030700098</v>
          </cell>
          <cell r="B274" t="str">
            <v>单反相机镜头</v>
          </cell>
          <cell r="C274" t="str">
            <v/>
          </cell>
          <cell r="D274" t="str">
            <v>台</v>
          </cell>
          <cell r="E274" t="str">
            <v/>
          </cell>
          <cell r="F274" t="str">
            <v>单反相机镜头 佳能/EF 24-70mm f/2.8L II USM</v>
          </cell>
          <cell r="G274" t="str">
            <v/>
          </cell>
          <cell r="H274" t="str">
            <v>三维扫描仪备品备件</v>
          </cell>
          <cell r="I274" t="str">
            <v>否</v>
          </cell>
          <cell r="J274" t="str">
            <v>否</v>
          </cell>
          <cell r="K274" t="str">
            <v>深圳积木易搭科技技术有限公司</v>
          </cell>
          <cell r="L274" t="str">
            <v/>
          </cell>
          <cell r="M274" t="str">
            <v>2024-09-18 16:23:12</v>
          </cell>
          <cell r="N274" t="str">
            <v>2024-09-18 16:23:12</v>
          </cell>
          <cell r="O274" t="str">
            <v>单涛</v>
          </cell>
          <cell r="P274" t="str">
            <v/>
          </cell>
          <cell r="Q274" t="str">
            <v/>
          </cell>
          <cell r="R274" t="str">
            <v>否</v>
          </cell>
          <cell r="S274" t="str">
            <v/>
          </cell>
          <cell r="T274" t="str">
            <v/>
          </cell>
          <cell r="U274" t="str">
            <v/>
          </cell>
          <cell r="V274" t="str">
            <v/>
          </cell>
          <cell r="W274" t="str">
            <v/>
          </cell>
          <cell r="X274" t="str">
            <v/>
          </cell>
          <cell r="Y274" t="str">
            <v>1030700098</v>
          </cell>
          <cell r="Z274" t="str">
            <v>-</v>
          </cell>
          <cell r="AA274" t="str">
            <v/>
          </cell>
          <cell r="AB274" t="str">
            <v/>
          </cell>
          <cell r="AC274" t="str">
            <v/>
          </cell>
          <cell r="AD274" t="str">
            <v/>
          </cell>
          <cell r="AE274" t="str">
            <v/>
          </cell>
          <cell r="AF274" t="str">
            <v/>
          </cell>
          <cell r="AG274" t="str">
            <v/>
          </cell>
          <cell r="AH274" t="str">
            <v/>
          </cell>
          <cell r="AI274" t="str">
            <v/>
          </cell>
          <cell r="AJ274" t="str">
            <v/>
          </cell>
          <cell r="AK274" t="str">
            <v/>
          </cell>
        </row>
        <row r="275">
          <cell r="A275">
            <v>1030800004</v>
          </cell>
          <cell r="B275" t="str">
            <v>单反相机</v>
          </cell>
          <cell r="C275" t="str">
            <v/>
          </cell>
          <cell r="D275" t="str">
            <v>台</v>
          </cell>
          <cell r="E275" t="str">
            <v/>
          </cell>
          <cell r="F275" t="str">
            <v>单反相机 佳能/EOS 5D Mark IV 5D4</v>
          </cell>
          <cell r="G275" t="str">
            <v/>
          </cell>
          <cell r="H275" t="str">
            <v>三维扫描仪备品备件</v>
          </cell>
          <cell r="I275" t="str">
            <v>否</v>
          </cell>
          <cell r="J275" t="str">
            <v>否</v>
          </cell>
          <cell r="K275" t="str">
            <v>深圳积木易搭科技技术有限公司</v>
          </cell>
          <cell r="L275" t="str">
            <v/>
          </cell>
          <cell r="M275" t="str">
            <v>2024-09-18 16:21:00</v>
          </cell>
          <cell r="N275" t="str">
            <v>2024-09-18 16:21:00</v>
          </cell>
          <cell r="O275" t="str">
            <v>单涛</v>
          </cell>
          <cell r="P275" t="str">
            <v/>
          </cell>
          <cell r="Q275" t="str">
            <v/>
          </cell>
          <cell r="R275" t="str">
            <v>否</v>
          </cell>
          <cell r="S275" t="str">
            <v/>
          </cell>
          <cell r="T275" t="str">
            <v/>
          </cell>
          <cell r="U275" t="str">
            <v/>
          </cell>
          <cell r="V275" t="str">
            <v/>
          </cell>
          <cell r="W275" t="str">
            <v/>
          </cell>
          <cell r="X275" t="str">
            <v/>
          </cell>
          <cell r="Y275" t="str">
            <v>1030800004</v>
          </cell>
          <cell r="Z275" t="str">
            <v>-</v>
          </cell>
          <cell r="AA275" t="str">
            <v/>
          </cell>
          <cell r="AB275" t="str">
            <v/>
          </cell>
          <cell r="AC275" t="str">
            <v/>
          </cell>
          <cell r="AD275" t="str">
            <v/>
          </cell>
          <cell r="AE275" t="str">
            <v/>
          </cell>
          <cell r="AF275" t="str">
            <v/>
          </cell>
          <cell r="AG275" t="str">
            <v/>
          </cell>
          <cell r="AH275" t="str">
            <v/>
          </cell>
          <cell r="AI275" t="str">
            <v/>
          </cell>
          <cell r="AJ275" t="str">
            <v/>
          </cell>
          <cell r="AK275" t="str">
            <v/>
          </cell>
        </row>
        <row r="276">
          <cell r="A276">
            <v>1030300004</v>
          </cell>
          <cell r="B276" t="str">
            <v>3D扫描仪光机</v>
          </cell>
          <cell r="C276" t="str">
            <v/>
          </cell>
          <cell r="D276" t="str">
            <v>台</v>
          </cell>
          <cell r="E276" t="str">
            <v/>
          </cell>
          <cell r="F276" t="str">
            <v>3D扫描仪光机</v>
          </cell>
          <cell r="G276" t="str">
            <v>3DMakerpro</v>
          </cell>
          <cell r="H276" t="str">
            <v>三维扫描仪备品备件</v>
          </cell>
          <cell r="I276" t="str">
            <v>否</v>
          </cell>
          <cell r="J276" t="str">
            <v>否</v>
          </cell>
          <cell r="K276" t="str">
            <v>深圳积木易搭科技技术有限公司</v>
          </cell>
          <cell r="L276" t="str">
            <v/>
          </cell>
          <cell r="M276" t="str">
            <v>2024-09-13 13:38:38</v>
          </cell>
          <cell r="N276" t="str">
            <v>2024-09-13 13:38:38</v>
          </cell>
          <cell r="O276" t="str">
            <v>单涛</v>
          </cell>
          <cell r="P276" t="str">
            <v/>
          </cell>
          <cell r="Q276" t="str">
            <v/>
          </cell>
          <cell r="R276" t="str">
            <v>否</v>
          </cell>
          <cell r="S276" t="str">
            <v/>
          </cell>
          <cell r="T276" t="str">
            <v/>
          </cell>
          <cell r="U276" t="str">
            <v/>
          </cell>
          <cell r="V276" t="str">
            <v/>
          </cell>
          <cell r="W276" t="str">
            <v/>
          </cell>
          <cell r="X276" t="str">
            <v/>
          </cell>
          <cell r="Y276" t="str">
            <v>1030300004</v>
          </cell>
          <cell r="Z276" t="str">
            <v>-</v>
          </cell>
          <cell r="AA276" t="str">
            <v/>
          </cell>
          <cell r="AB276" t="str">
            <v/>
          </cell>
          <cell r="AC276" t="str">
            <v/>
          </cell>
          <cell r="AD276" t="str">
            <v/>
          </cell>
          <cell r="AE276" t="str">
            <v/>
          </cell>
          <cell r="AF276" t="str">
            <v/>
          </cell>
          <cell r="AG276" t="str">
            <v/>
          </cell>
          <cell r="AH276" t="str">
            <v/>
          </cell>
          <cell r="AI276" t="str">
            <v/>
          </cell>
          <cell r="AJ276" t="str">
            <v/>
          </cell>
          <cell r="AK276" t="str">
            <v/>
          </cell>
        </row>
        <row r="277">
          <cell r="A277" t="str">
            <v>1081100049D</v>
          </cell>
          <cell r="B277" t="str">
            <v>Seal/seal lite说明书</v>
          </cell>
          <cell r="C277" t="str">
            <v/>
          </cell>
          <cell r="D277" t="str">
            <v>本</v>
          </cell>
          <cell r="E277" t="str">
            <v/>
          </cell>
          <cell r="F277" t="str">
            <v>Seal/seal lite说明书</v>
          </cell>
          <cell r="G277" t="str">
            <v>3DMakerpro</v>
          </cell>
          <cell r="H277" t="str">
            <v>其它物料</v>
          </cell>
          <cell r="I277" t="str">
            <v>否</v>
          </cell>
          <cell r="J277" t="str">
            <v>否</v>
          </cell>
          <cell r="K277" t="str">
            <v>深圳积木易搭科技技术有限公司</v>
          </cell>
          <cell r="L277" t="str">
            <v/>
          </cell>
          <cell r="M277" t="str">
            <v>2024-09-13 11:44:04</v>
          </cell>
          <cell r="N277" t="str">
            <v>2024-09-13 11:44:04</v>
          </cell>
          <cell r="O277" t="str">
            <v>单涛</v>
          </cell>
          <cell r="P277" t="str">
            <v/>
          </cell>
          <cell r="Q277" t="str">
            <v/>
          </cell>
          <cell r="R277" t="str">
            <v>否</v>
          </cell>
          <cell r="S277" t="str">
            <v/>
          </cell>
          <cell r="T277" t="str">
            <v/>
          </cell>
          <cell r="U277" t="str">
            <v/>
          </cell>
          <cell r="V277" t="str">
            <v/>
          </cell>
          <cell r="W277" t="str">
            <v/>
          </cell>
          <cell r="X277" t="str">
            <v/>
          </cell>
          <cell r="Y277" t="str">
            <v>1081100049D</v>
          </cell>
          <cell r="Z277" t="str">
            <v>-</v>
          </cell>
          <cell r="AA277" t="str">
            <v/>
          </cell>
          <cell r="AB277" t="str">
            <v/>
          </cell>
          <cell r="AC277" t="str">
            <v/>
          </cell>
          <cell r="AD277" t="str">
            <v/>
          </cell>
          <cell r="AE277" t="str">
            <v/>
          </cell>
          <cell r="AF277" t="str">
            <v/>
          </cell>
          <cell r="AG277" t="str">
            <v/>
          </cell>
          <cell r="AH277" t="str">
            <v/>
          </cell>
          <cell r="AI277" t="str">
            <v/>
          </cell>
          <cell r="AJ277" t="str">
            <v/>
          </cell>
          <cell r="AK277" t="str">
            <v/>
          </cell>
        </row>
        <row r="278">
          <cell r="A278">
            <v>1010500059</v>
          </cell>
          <cell r="B278" t="str">
            <v>Seal扫描仪后盖</v>
          </cell>
          <cell r="C278" t="str">
            <v/>
          </cell>
          <cell r="D278" t="str">
            <v>个</v>
          </cell>
          <cell r="E278" t="str">
            <v/>
          </cell>
          <cell r="F278" t="str">
            <v>Seal扫描仪后盖</v>
          </cell>
          <cell r="G278" t="str">
            <v>3DMakerpro</v>
          </cell>
          <cell r="H278" t="str">
            <v>其它物料</v>
          </cell>
          <cell r="I278" t="str">
            <v>否</v>
          </cell>
          <cell r="J278" t="str">
            <v>否</v>
          </cell>
          <cell r="K278" t="str">
            <v>深圳积木易搭科技技术有限公司</v>
          </cell>
          <cell r="L278" t="str">
            <v/>
          </cell>
          <cell r="M278" t="str">
            <v>2024-09-13 11:40:36</v>
          </cell>
          <cell r="N278" t="str">
            <v>2024-09-13 11:40:36</v>
          </cell>
          <cell r="O278" t="str">
            <v>单涛</v>
          </cell>
          <cell r="P278" t="str">
            <v/>
          </cell>
          <cell r="Q278" t="str">
            <v/>
          </cell>
          <cell r="R278" t="str">
            <v>否</v>
          </cell>
          <cell r="S278" t="str">
            <v/>
          </cell>
          <cell r="T278" t="str">
            <v/>
          </cell>
          <cell r="U278" t="str">
            <v/>
          </cell>
          <cell r="V278" t="str">
            <v/>
          </cell>
          <cell r="W278" t="str">
            <v/>
          </cell>
          <cell r="X278" t="str">
            <v/>
          </cell>
          <cell r="Y278" t="str">
            <v>1010500059</v>
          </cell>
          <cell r="Z278" t="str">
            <v>-</v>
          </cell>
          <cell r="AA278" t="str">
            <v/>
          </cell>
          <cell r="AB278" t="str">
            <v/>
          </cell>
          <cell r="AC278" t="str">
            <v/>
          </cell>
          <cell r="AD278" t="str">
            <v/>
          </cell>
          <cell r="AE278" t="str">
            <v/>
          </cell>
          <cell r="AF278" t="str">
            <v/>
          </cell>
          <cell r="AG278" t="str">
            <v/>
          </cell>
          <cell r="AH278" t="str">
            <v/>
          </cell>
          <cell r="AI278" t="str">
            <v/>
          </cell>
          <cell r="AJ278" t="str">
            <v/>
          </cell>
          <cell r="AK278" t="str">
            <v/>
          </cell>
        </row>
        <row r="279">
          <cell r="A279" t="str">
            <v>1081000068B</v>
          </cell>
          <cell r="B279" t="str">
            <v>seal lite号段标签</v>
          </cell>
          <cell r="C279" t="str">
            <v/>
          </cell>
          <cell r="D279" t="str">
            <v>个</v>
          </cell>
          <cell r="E279" t="str">
            <v/>
          </cell>
          <cell r="F279" t="str">
            <v>seal lite号段标签</v>
          </cell>
          <cell r="G279" t="str">
            <v>3DMakerpro</v>
          </cell>
          <cell r="H279" t="str">
            <v>其它物料</v>
          </cell>
          <cell r="I279" t="str">
            <v>否</v>
          </cell>
          <cell r="J279" t="str">
            <v>否</v>
          </cell>
          <cell r="K279" t="str">
            <v>深圳积木易搭科技技术有限公司</v>
          </cell>
          <cell r="L279" t="str">
            <v/>
          </cell>
          <cell r="M279" t="str">
            <v>2024-09-13 11:39:01</v>
          </cell>
          <cell r="N279" t="str">
            <v>2024-09-13 11:39:01</v>
          </cell>
          <cell r="O279" t="str">
            <v>单涛</v>
          </cell>
          <cell r="P279" t="str">
            <v/>
          </cell>
          <cell r="Q279" t="str">
            <v/>
          </cell>
          <cell r="R279" t="str">
            <v>否</v>
          </cell>
          <cell r="S279" t="str">
            <v/>
          </cell>
          <cell r="T279" t="str">
            <v/>
          </cell>
          <cell r="U279" t="str">
            <v/>
          </cell>
          <cell r="V279" t="str">
            <v/>
          </cell>
          <cell r="W279" t="str">
            <v/>
          </cell>
          <cell r="X279" t="str">
            <v/>
          </cell>
          <cell r="Y279" t="str">
            <v>1081000068B</v>
          </cell>
          <cell r="Z279" t="str">
            <v>-</v>
          </cell>
          <cell r="AA279" t="str">
            <v/>
          </cell>
          <cell r="AB279" t="str">
            <v/>
          </cell>
          <cell r="AC279" t="str">
            <v/>
          </cell>
          <cell r="AD279" t="str">
            <v/>
          </cell>
          <cell r="AE279" t="str">
            <v/>
          </cell>
          <cell r="AF279" t="str">
            <v/>
          </cell>
          <cell r="AG279" t="str">
            <v/>
          </cell>
          <cell r="AH279" t="str">
            <v/>
          </cell>
          <cell r="AI279" t="str">
            <v/>
          </cell>
          <cell r="AJ279" t="str">
            <v/>
          </cell>
          <cell r="AK279" t="str">
            <v/>
          </cell>
        </row>
        <row r="280">
          <cell r="A280">
            <v>1080700035</v>
          </cell>
          <cell r="B280" t="str">
            <v>MOLE数据线包装袋</v>
          </cell>
          <cell r="C280" t="str">
            <v/>
          </cell>
          <cell r="D280" t="str">
            <v>个</v>
          </cell>
          <cell r="E280" t="str">
            <v/>
          </cell>
          <cell r="F280" t="str">
            <v>MOLE数据线包装袋</v>
          </cell>
          <cell r="G280" t="str">
            <v>3DMakerpro</v>
          </cell>
          <cell r="H280" t="str">
            <v>其它物料</v>
          </cell>
          <cell r="I280" t="str">
            <v>否</v>
          </cell>
          <cell r="J280" t="str">
            <v>否</v>
          </cell>
          <cell r="K280" t="str">
            <v>深圳积木易搭科技技术有限公司</v>
          </cell>
          <cell r="L280" t="str">
            <v/>
          </cell>
          <cell r="M280" t="str">
            <v>2024-09-13 11:37:49</v>
          </cell>
          <cell r="N280" t="str">
            <v>2024-09-13 11:37:49</v>
          </cell>
          <cell r="O280" t="str">
            <v>单涛</v>
          </cell>
          <cell r="P280" t="str">
            <v/>
          </cell>
          <cell r="Q280" t="str">
            <v/>
          </cell>
          <cell r="R280" t="str">
            <v>否</v>
          </cell>
          <cell r="S280" t="str">
            <v/>
          </cell>
          <cell r="T280" t="str">
            <v/>
          </cell>
          <cell r="U280" t="str">
            <v/>
          </cell>
          <cell r="V280" t="str">
            <v/>
          </cell>
          <cell r="W280" t="str">
            <v/>
          </cell>
          <cell r="X280" t="str">
            <v/>
          </cell>
          <cell r="Y280" t="str">
            <v>1080700035</v>
          </cell>
          <cell r="Z280" t="str">
            <v>-</v>
          </cell>
          <cell r="AA280" t="str">
            <v/>
          </cell>
          <cell r="AB280" t="str">
            <v/>
          </cell>
          <cell r="AC280" t="str">
            <v/>
          </cell>
          <cell r="AD280" t="str">
            <v/>
          </cell>
          <cell r="AE280" t="str">
            <v/>
          </cell>
          <cell r="AF280" t="str">
            <v/>
          </cell>
          <cell r="AG280" t="str">
            <v/>
          </cell>
          <cell r="AH280" t="str">
            <v/>
          </cell>
          <cell r="AI280" t="str">
            <v/>
          </cell>
          <cell r="AJ280" t="str">
            <v/>
          </cell>
          <cell r="AK280" t="str">
            <v/>
          </cell>
        </row>
        <row r="281">
          <cell r="A281">
            <v>1080400042</v>
          </cell>
          <cell r="B281" t="str">
            <v>Seal主机包装盒</v>
          </cell>
          <cell r="C281" t="str">
            <v/>
          </cell>
          <cell r="D281" t="str">
            <v>个</v>
          </cell>
          <cell r="E281" t="str">
            <v/>
          </cell>
          <cell r="F281" t="str">
            <v>Seal主机包装盒</v>
          </cell>
          <cell r="G281" t="str">
            <v>3DMakerpro</v>
          </cell>
          <cell r="H281" t="str">
            <v>其它物料</v>
          </cell>
          <cell r="I281" t="str">
            <v>否</v>
          </cell>
          <cell r="J281" t="str">
            <v>否</v>
          </cell>
          <cell r="K281" t="str">
            <v>深圳积木易搭科技技术有限公司</v>
          </cell>
          <cell r="L281" t="str">
            <v/>
          </cell>
          <cell r="M281" t="str">
            <v>2024-09-13 11:36:21</v>
          </cell>
          <cell r="N281" t="str">
            <v>2024-09-13 11:36:21</v>
          </cell>
          <cell r="O281" t="str">
            <v>单涛</v>
          </cell>
          <cell r="P281" t="str">
            <v/>
          </cell>
          <cell r="Q281" t="str">
            <v/>
          </cell>
          <cell r="R281" t="str">
            <v>否</v>
          </cell>
          <cell r="S281" t="str">
            <v/>
          </cell>
          <cell r="T281" t="str">
            <v/>
          </cell>
          <cell r="U281" t="str">
            <v/>
          </cell>
          <cell r="V281" t="str">
            <v/>
          </cell>
          <cell r="W281" t="str">
            <v/>
          </cell>
          <cell r="X281" t="str">
            <v/>
          </cell>
          <cell r="Y281" t="str">
            <v>1080400042</v>
          </cell>
          <cell r="Z281" t="str">
            <v>-</v>
          </cell>
          <cell r="AA281" t="str">
            <v/>
          </cell>
          <cell r="AB281" t="str">
            <v/>
          </cell>
          <cell r="AC281" t="str">
            <v/>
          </cell>
          <cell r="AD281" t="str">
            <v/>
          </cell>
          <cell r="AE281" t="str">
            <v/>
          </cell>
          <cell r="AF281" t="str">
            <v/>
          </cell>
          <cell r="AG281" t="str">
            <v/>
          </cell>
          <cell r="AH281" t="str">
            <v/>
          </cell>
          <cell r="AI281" t="str">
            <v/>
          </cell>
          <cell r="AJ281" t="str">
            <v/>
          </cell>
          <cell r="AK281" t="str">
            <v/>
          </cell>
        </row>
        <row r="282">
          <cell r="A282">
            <v>1081000093</v>
          </cell>
          <cell r="B282" t="str">
            <v>标签</v>
          </cell>
          <cell r="C282" t="str">
            <v/>
          </cell>
          <cell r="D282" t="str">
            <v>张</v>
          </cell>
          <cell r="E282" t="str">
            <v/>
          </cell>
          <cell r="F282" t="str">
            <v>锂电池运输提示标签贴纸</v>
          </cell>
          <cell r="G282" t="str">
            <v>3DMakerpro</v>
          </cell>
          <cell r="H282" t="str">
            <v>其它物料</v>
          </cell>
          <cell r="I282" t="str">
            <v>否</v>
          </cell>
          <cell r="J282" t="str">
            <v>否</v>
          </cell>
          <cell r="K282" t="str">
            <v>深圳积木易搭科技技术有限公司</v>
          </cell>
          <cell r="L282" t="str">
            <v/>
          </cell>
          <cell r="M282" t="str">
            <v>2024-09-03 10:33:57</v>
          </cell>
          <cell r="N282" t="str">
            <v>2024-09-03 10:33:57</v>
          </cell>
          <cell r="O282" t="str">
            <v>单涛</v>
          </cell>
          <cell r="P282" t="str">
            <v/>
          </cell>
          <cell r="Q282" t="str">
            <v/>
          </cell>
          <cell r="R282" t="str">
            <v>否</v>
          </cell>
          <cell r="S282" t="str">
            <v/>
          </cell>
          <cell r="T282" t="str">
            <v/>
          </cell>
          <cell r="U282" t="str">
            <v/>
          </cell>
          <cell r="V282" t="str">
            <v/>
          </cell>
          <cell r="W282" t="str">
            <v/>
          </cell>
          <cell r="X282" t="str">
            <v/>
          </cell>
          <cell r="Y282" t="str">
            <v>1081000093</v>
          </cell>
          <cell r="Z282" t="str">
            <v>-</v>
          </cell>
          <cell r="AA282" t="str">
            <v/>
          </cell>
          <cell r="AB282" t="str">
            <v/>
          </cell>
          <cell r="AC282" t="str">
            <v/>
          </cell>
          <cell r="AD282" t="str">
            <v/>
          </cell>
          <cell r="AE282" t="str">
            <v/>
          </cell>
          <cell r="AF282" t="str">
            <v/>
          </cell>
          <cell r="AG282" t="str">
            <v/>
          </cell>
          <cell r="AH282" t="str">
            <v/>
          </cell>
          <cell r="AI282" t="str">
            <v/>
          </cell>
          <cell r="AJ282" t="str">
            <v/>
          </cell>
          <cell r="AK282" t="str">
            <v/>
          </cell>
        </row>
        <row r="283">
          <cell r="A283">
            <v>1081000069</v>
          </cell>
          <cell r="B283" t="str">
            <v>产品合格证</v>
          </cell>
          <cell r="C283" t="str">
            <v/>
          </cell>
          <cell r="D283" t="str">
            <v>个</v>
          </cell>
          <cell r="E283" t="str">
            <v/>
          </cell>
          <cell r="F283" t="str">
            <v>产品合格证</v>
          </cell>
          <cell r="G283" t="str">
            <v>3DMakerpro</v>
          </cell>
          <cell r="H283" t="str">
            <v>其它物料</v>
          </cell>
          <cell r="I283" t="str">
            <v>否</v>
          </cell>
          <cell r="J283" t="str">
            <v>否</v>
          </cell>
          <cell r="K283" t="str">
            <v>深圳积木易搭科技技术有限公司</v>
          </cell>
          <cell r="L283" t="str">
            <v/>
          </cell>
          <cell r="M283" t="str">
            <v>2024-09-03 10:32:42</v>
          </cell>
          <cell r="N283" t="str">
            <v>2024-09-03 10:32:42</v>
          </cell>
          <cell r="O283" t="str">
            <v>单涛</v>
          </cell>
          <cell r="P283" t="str">
            <v/>
          </cell>
          <cell r="Q283" t="str">
            <v/>
          </cell>
          <cell r="R283" t="str">
            <v>否</v>
          </cell>
          <cell r="S283" t="str">
            <v/>
          </cell>
          <cell r="T283" t="str">
            <v/>
          </cell>
          <cell r="U283" t="str">
            <v/>
          </cell>
          <cell r="V283" t="str">
            <v/>
          </cell>
          <cell r="W283" t="str">
            <v/>
          </cell>
          <cell r="X283" t="str">
            <v/>
          </cell>
          <cell r="Y283" t="str">
            <v>1081000069</v>
          </cell>
          <cell r="Z283" t="str">
            <v>默认规格</v>
          </cell>
          <cell r="AA283" t="str">
            <v/>
          </cell>
          <cell r="AB283" t="str">
            <v/>
          </cell>
          <cell r="AC283" t="str">
            <v/>
          </cell>
          <cell r="AD283" t="str">
            <v/>
          </cell>
          <cell r="AE283" t="str">
            <v/>
          </cell>
          <cell r="AF283" t="str">
            <v/>
          </cell>
          <cell r="AG283" t="str">
            <v/>
          </cell>
          <cell r="AH283" t="str">
            <v/>
          </cell>
          <cell r="AI283" t="str">
            <v/>
          </cell>
          <cell r="AJ283" t="str">
            <v/>
          </cell>
          <cell r="AK283" t="str">
            <v/>
          </cell>
        </row>
        <row r="284">
          <cell r="A284">
            <v>1081100060</v>
          </cell>
          <cell r="B284" t="str">
            <v>Smart Grip手柄说明书</v>
          </cell>
          <cell r="C284" t="str">
            <v/>
          </cell>
          <cell r="D284" t="str">
            <v>本</v>
          </cell>
          <cell r="E284" t="str">
            <v/>
          </cell>
          <cell r="F284" t="str">
            <v>Smart Grip手柄说明书</v>
          </cell>
          <cell r="G284" t="str">
            <v>3DMakerpro</v>
          </cell>
          <cell r="H284" t="str">
            <v>其它物料</v>
          </cell>
          <cell r="I284" t="str">
            <v>否</v>
          </cell>
          <cell r="J284" t="str">
            <v>否</v>
          </cell>
          <cell r="K284" t="str">
            <v>深圳积木易搭科技技术有限公司</v>
          </cell>
          <cell r="L284" t="str">
            <v/>
          </cell>
          <cell r="M284" t="str">
            <v>2024-09-03 10:31:17</v>
          </cell>
          <cell r="N284" t="str">
            <v>2024-09-03 10:31:17</v>
          </cell>
          <cell r="O284" t="str">
            <v>单涛</v>
          </cell>
          <cell r="P284" t="str">
            <v/>
          </cell>
          <cell r="Q284" t="str">
            <v/>
          </cell>
          <cell r="R284" t="str">
            <v>否</v>
          </cell>
          <cell r="S284" t="str">
            <v/>
          </cell>
          <cell r="T284" t="str">
            <v/>
          </cell>
          <cell r="U284" t="str">
            <v/>
          </cell>
          <cell r="V284" t="str">
            <v/>
          </cell>
          <cell r="W284" t="str">
            <v/>
          </cell>
          <cell r="X284" t="str">
            <v/>
          </cell>
          <cell r="Y284" t="str">
            <v>1081100060</v>
          </cell>
          <cell r="Z284" t="str">
            <v>-</v>
          </cell>
          <cell r="AA284" t="str">
            <v/>
          </cell>
          <cell r="AB284" t="str">
            <v/>
          </cell>
          <cell r="AC284" t="str">
            <v/>
          </cell>
          <cell r="AD284" t="str">
            <v/>
          </cell>
          <cell r="AE284" t="str">
            <v/>
          </cell>
          <cell r="AF284" t="str">
            <v/>
          </cell>
          <cell r="AG284" t="str">
            <v/>
          </cell>
          <cell r="AH284" t="str">
            <v/>
          </cell>
          <cell r="AI284" t="str">
            <v/>
          </cell>
          <cell r="AJ284" t="str">
            <v/>
          </cell>
          <cell r="AK284" t="str">
            <v/>
          </cell>
        </row>
        <row r="285">
          <cell r="A285">
            <v>1080700039</v>
          </cell>
          <cell r="B285" t="str">
            <v>主机包装袋</v>
          </cell>
          <cell r="C285" t="str">
            <v/>
          </cell>
          <cell r="D285" t="str">
            <v>个</v>
          </cell>
          <cell r="E285" t="str">
            <v/>
          </cell>
          <cell r="F285" t="str">
            <v>主机包装袋</v>
          </cell>
          <cell r="G285" t="str">
            <v>3DMakerpro</v>
          </cell>
          <cell r="H285" t="str">
            <v>其它物料</v>
          </cell>
          <cell r="I285" t="str">
            <v>否</v>
          </cell>
          <cell r="J285" t="str">
            <v>否</v>
          </cell>
          <cell r="K285" t="str">
            <v>深圳积木易搭科技技术有限公司</v>
          </cell>
          <cell r="L285" t="str">
            <v/>
          </cell>
          <cell r="M285" t="str">
            <v>2024-08-26 11:13:15</v>
          </cell>
          <cell r="N285" t="str">
            <v>2024-08-26 11:13:15</v>
          </cell>
          <cell r="O285" t="str">
            <v>单涛</v>
          </cell>
          <cell r="P285" t="str">
            <v/>
          </cell>
          <cell r="Q285" t="str">
            <v/>
          </cell>
          <cell r="R285" t="str">
            <v>否</v>
          </cell>
          <cell r="S285" t="str">
            <v/>
          </cell>
          <cell r="T285" t="str">
            <v/>
          </cell>
          <cell r="U285" t="str">
            <v/>
          </cell>
          <cell r="V285" t="str">
            <v/>
          </cell>
          <cell r="W285" t="str">
            <v/>
          </cell>
          <cell r="X285" t="str">
            <v/>
          </cell>
          <cell r="Y285" t="str">
            <v>1080700039</v>
          </cell>
          <cell r="Z285" t="str">
            <v>-</v>
          </cell>
          <cell r="AA285" t="str">
            <v/>
          </cell>
          <cell r="AB285" t="str">
            <v/>
          </cell>
          <cell r="AC285" t="str">
            <v/>
          </cell>
          <cell r="AD285" t="str">
            <v/>
          </cell>
          <cell r="AE285" t="str">
            <v/>
          </cell>
          <cell r="AF285" t="str">
            <v/>
          </cell>
          <cell r="AG285" t="str">
            <v/>
          </cell>
          <cell r="AH285" t="str">
            <v/>
          </cell>
          <cell r="AI285" t="str">
            <v/>
          </cell>
          <cell r="AJ285" t="str">
            <v/>
          </cell>
          <cell r="AK285" t="str">
            <v/>
          </cell>
        </row>
        <row r="286">
          <cell r="A286">
            <v>1080500050</v>
          </cell>
          <cell r="B286" t="str">
            <v>泡棉</v>
          </cell>
          <cell r="C286" t="str">
            <v/>
          </cell>
          <cell r="D286" t="str">
            <v>个</v>
          </cell>
          <cell r="E286" t="str">
            <v/>
          </cell>
          <cell r="F286" t="str">
            <v>泡棉</v>
          </cell>
          <cell r="G286" t="str">
            <v>3DMakerpro</v>
          </cell>
          <cell r="H286" t="str">
            <v>其它物料</v>
          </cell>
          <cell r="I286" t="str">
            <v>否</v>
          </cell>
          <cell r="J286" t="str">
            <v>否</v>
          </cell>
          <cell r="K286" t="str">
            <v>深圳积木易搭科技技术有限公司</v>
          </cell>
          <cell r="L286" t="str">
            <v/>
          </cell>
          <cell r="M286" t="str">
            <v>2024-08-26 11:12:25</v>
          </cell>
          <cell r="N286" t="str">
            <v>2024-08-26 11:12:25</v>
          </cell>
          <cell r="O286" t="str">
            <v>单涛</v>
          </cell>
          <cell r="P286" t="str">
            <v/>
          </cell>
          <cell r="Q286" t="str">
            <v/>
          </cell>
          <cell r="R286" t="str">
            <v>否</v>
          </cell>
          <cell r="S286" t="str">
            <v/>
          </cell>
          <cell r="T286" t="str">
            <v/>
          </cell>
          <cell r="U286" t="str">
            <v/>
          </cell>
          <cell r="V286" t="str">
            <v/>
          </cell>
          <cell r="W286" t="str">
            <v/>
          </cell>
          <cell r="X286" t="str">
            <v/>
          </cell>
          <cell r="Y286" t="str">
            <v>1080500050</v>
          </cell>
          <cell r="Z286" t="str">
            <v>-</v>
          </cell>
          <cell r="AA286" t="str">
            <v/>
          </cell>
          <cell r="AB286" t="str">
            <v/>
          </cell>
          <cell r="AC286" t="str">
            <v/>
          </cell>
          <cell r="AD286" t="str">
            <v/>
          </cell>
          <cell r="AE286" t="str">
            <v/>
          </cell>
          <cell r="AF286" t="str">
            <v/>
          </cell>
          <cell r="AG286" t="str">
            <v/>
          </cell>
          <cell r="AH286" t="str">
            <v/>
          </cell>
          <cell r="AI286" t="str">
            <v/>
          </cell>
          <cell r="AJ286" t="str">
            <v/>
          </cell>
          <cell r="AK286" t="str">
            <v/>
          </cell>
        </row>
        <row r="287">
          <cell r="A287">
            <v>1020900005</v>
          </cell>
          <cell r="B287" t="str">
            <v>低配相机模组</v>
          </cell>
          <cell r="C287" t="str">
            <v/>
          </cell>
          <cell r="D287" t="str">
            <v>台</v>
          </cell>
          <cell r="E287" t="str">
            <v/>
          </cell>
          <cell r="F287" t="str">
            <v>低配相机模组</v>
          </cell>
          <cell r="G287" t="str">
            <v>Creality</v>
          </cell>
          <cell r="H287" t="str">
            <v>三维扫描仪备品备件</v>
          </cell>
          <cell r="I287" t="str">
            <v>否</v>
          </cell>
          <cell r="J287" t="str">
            <v>否</v>
          </cell>
          <cell r="K287" t="str">
            <v>深圳积木易搭科技技术有限公司</v>
          </cell>
          <cell r="L287" t="str">
            <v/>
          </cell>
          <cell r="M287" t="str">
            <v>2024-08-26 11:03:33</v>
          </cell>
          <cell r="N287" t="str">
            <v>2024-08-26 11:03:33</v>
          </cell>
          <cell r="O287" t="str">
            <v>单涛</v>
          </cell>
          <cell r="P287" t="str">
            <v/>
          </cell>
          <cell r="Q287" t="str">
            <v/>
          </cell>
          <cell r="R287" t="str">
            <v>否</v>
          </cell>
          <cell r="S287" t="str">
            <v/>
          </cell>
          <cell r="T287" t="str">
            <v/>
          </cell>
          <cell r="U287" t="str">
            <v/>
          </cell>
          <cell r="V287" t="str">
            <v/>
          </cell>
          <cell r="W287" t="str">
            <v/>
          </cell>
          <cell r="X287" t="str">
            <v/>
          </cell>
          <cell r="Y287" t="str">
            <v>1020900005</v>
          </cell>
          <cell r="Z287" t="str">
            <v>-</v>
          </cell>
          <cell r="AA287" t="str">
            <v/>
          </cell>
          <cell r="AB287" t="str">
            <v/>
          </cell>
          <cell r="AC287" t="str">
            <v/>
          </cell>
          <cell r="AD287" t="str">
            <v/>
          </cell>
          <cell r="AE287" t="str">
            <v/>
          </cell>
          <cell r="AF287" t="str">
            <v/>
          </cell>
          <cell r="AG287" t="str">
            <v/>
          </cell>
          <cell r="AH287" t="str">
            <v/>
          </cell>
          <cell r="AI287" t="str">
            <v/>
          </cell>
          <cell r="AJ287" t="str">
            <v/>
          </cell>
          <cell r="AK287" t="str">
            <v/>
          </cell>
        </row>
        <row r="288">
          <cell r="A288" t="str">
            <v>ZP20240701</v>
          </cell>
          <cell r="B288" t="str">
            <v>U盘</v>
          </cell>
          <cell r="C288" t="str">
            <v>USB flash disk</v>
          </cell>
          <cell r="D288" t="str">
            <v>个</v>
          </cell>
          <cell r="E288" t="str">
            <v/>
          </cell>
          <cell r="F288" t="str">
            <v>赠品U盘-16G</v>
          </cell>
          <cell r="G288" t="str">
            <v>3DMakerpro</v>
          </cell>
          <cell r="H288" t="str">
            <v>赠品</v>
          </cell>
          <cell r="I288" t="str">
            <v>否</v>
          </cell>
          <cell r="J288" t="str">
            <v>否</v>
          </cell>
          <cell r="K288" t="str">
            <v>深圳积木易搭科技技术有限公司</v>
          </cell>
          <cell r="L288" t="str">
            <v/>
          </cell>
          <cell r="M288" t="str">
            <v>2024-07-23 15:50:00</v>
          </cell>
          <cell r="N288" t="str">
            <v>2024-07-23 15:50:00</v>
          </cell>
          <cell r="O288" t="str">
            <v>单涛</v>
          </cell>
          <cell r="P288" t="str">
            <v/>
          </cell>
          <cell r="Q288" t="str">
            <v/>
          </cell>
          <cell r="R288" t="str">
            <v>否</v>
          </cell>
          <cell r="S288" t="str">
            <v/>
          </cell>
          <cell r="T288" t="str">
            <v/>
          </cell>
          <cell r="U288" t="str">
            <v/>
          </cell>
          <cell r="V288" t="str">
            <v/>
          </cell>
          <cell r="W288" t="str">
            <v/>
          </cell>
          <cell r="X288" t="str">
            <v/>
          </cell>
          <cell r="Y288" t="str">
            <v>ZP20240701</v>
          </cell>
          <cell r="Z288" t="str">
            <v>-</v>
          </cell>
          <cell r="AA288" t="str">
            <v/>
          </cell>
          <cell r="AB288">
            <v>16</v>
          </cell>
          <cell r="AC288">
            <v>12</v>
          </cell>
          <cell r="AD288">
            <v>0.5</v>
          </cell>
          <cell r="AE288">
            <v>96</v>
          </cell>
          <cell r="AF288" t="str">
            <v>cm³</v>
          </cell>
          <cell r="AG288">
            <v>0.003</v>
          </cell>
          <cell r="AH288" t="str">
            <v>kg</v>
          </cell>
          <cell r="AI288" t="str">
            <v/>
          </cell>
          <cell r="AJ288" t="str">
            <v/>
          </cell>
          <cell r="AK288" t="str">
            <v/>
          </cell>
        </row>
        <row r="289">
          <cell r="A289">
            <v>1300100138</v>
          </cell>
          <cell r="B289" t="str">
            <v>三维扫描仪 Core</v>
          </cell>
          <cell r="C289" t="str">
            <v/>
          </cell>
          <cell r="D289" t="str">
            <v>台</v>
          </cell>
          <cell r="E289" t="str">
            <v/>
          </cell>
          <cell r="F289" t="str">
            <v>Core 500W</v>
          </cell>
          <cell r="G289" t="str">
            <v>3DMakerpro</v>
          </cell>
          <cell r="H289" t="str">
            <v>三维扫描仪-CN</v>
          </cell>
          <cell r="I289" t="str">
            <v>否</v>
          </cell>
          <cell r="J289" t="str">
            <v>否</v>
          </cell>
          <cell r="K289" t="str">
            <v>深圳积木易搭科技技术有限公司</v>
          </cell>
          <cell r="L289" t="str">
            <v/>
          </cell>
          <cell r="M289" t="str">
            <v>2024-07-16 13:42:35</v>
          </cell>
          <cell r="N289" t="str">
            <v>2025-01-14 13:57:27</v>
          </cell>
          <cell r="O289" t="str">
            <v>单涛</v>
          </cell>
          <cell r="P289" t="str">
            <v/>
          </cell>
          <cell r="Q289" t="str">
            <v/>
          </cell>
          <cell r="R289" t="str">
            <v>否</v>
          </cell>
          <cell r="S289" t="str">
            <v/>
          </cell>
          <cell r="T289" t="str">
            <v/>
          </cell>
          <cell r="U289" t="str">
            <v/>
          </cell>
          <cell r="V289" t="str">
            <v/>
          </cell>
          <cell r="W289" t="str">
            <v/>
          </cell>
          <cell r="X289" t="str">
            <v/>
          </cell>
          <cell r="Y289" t="str">
            <v>1300100138</v>
          </cell>
          <cell r="Z289" t="str">
            <v>-</v>
          </cell>
          <cell r="AA289" t="str">
            <v/>
          </cell>
          <cell r="AB289" t="str">
            <v/>
          </cell>
          <cell r="AC289" t="str">
            <v/>
          </cell>
          <cell r="AD289" t="str">
            <v/>
          </cell>
          <cell r="AE289" t="str">
            <v/>
          </cell>
          <cell r="AF289" t="str">
            <v/>
          </cell>
          <cell r="AG289" t="str">
            <v/>
          </cell>
          <cell r="AH289" t="str">
            <v/>
          </cell>
          <cell r="AI289" t="str">
            <v/>
          </cell>
          <cell r="AJ289" t="str">
            <v>9031499000</v>
          </cell>
          <cell r="AK289" t="str">
            <v/>
          </cell>
        </row>
        <row r="290">
          <cell r="A290">
            <v>1080400060</v>
          </cell>
          <cell r="B290" t="str">
            <v>Color Kit 2包装盒</v>
          </cell>
          <cell r="C290" t="str">
            <v/>
          </cell>
          <cell r="D290" t="str">
            <v>个</v>
          </cell>
          <cell r="E290" t="str">
            <v/>
          </cell>
          <cell r="F290" t="str">
            <v>Color Kit 2包装盒</v>
          </cell>
          <cell r="G290" t="str">
            <v>3DMakerpro</v>
          </cell>
          <cell r="H290" t="str">
            <v>其它物料</v>
          </cell>
          <cell r="I290" t="str">
            <v>否</v>
          </cell>
          <cell r="J290" t="str">
            <v>否</v>
          </cell>
          <cell r="K290" t="str">
            <v>深圳积木易搭科技技术有限公司</v>
          </cell>
          <cell r="L290" t="str">
            <v/>
          </cell>
          <cell r="M290" t="str">
            <v>2024-07-12 16:30:37</v>
          </cell>
          <cell r="N290" t="str">
            <v>2024-07-12 16:30:37</v>
          </cell>
          <cell r="O290" t="str">
            <v>单涛</v>
          </cell>
          <cell r="P290" t="str">
            <v/>
          </cell>
          <cell r="Q290" t="str">
            <v/>
          </cell>
          <cell r="R290" t="str">
            <v>否</v>
          </cell>
          <cell r="S290" t="str">
            <v/>
          </cell>
          <cell r="T290" t="str">
            <v/>
          </cell>
          <cell r="U290" t="str">
            <v/>
          </cell>
          <cell r="V290" t="str">
            <v/>
          </cell>
          <cell r="W290" t="str">
            <v/>
          </cell>
          <cell r="X290" t="str">
            <v/>
          </cell>
          <cell r="Y290" t="str">
            <v>1080400060</v>
          </cell>
          <cell r="Z290" t="str">
            <v>-</v>
          </cell>
          <cell r="AA290" t="str">
            <v/>
          </cell>
          <cell r="AB290" t="str">
            <v/>
          </cell>
          <cell r="AC290" t="str">
            <v/>
          </cell>
          <cell r="AD290" t="str">
            <v/>
          </cell>
          <cell r="AE290" t="str">
            <v/>
          </cell>
          <cell r="AF290" t="str">
            <v/>
          </cell>
          <cell r="AG290" t="str">
            <v/>
          </cell>
          <cell r="AH290" t="str">
            <v/>
          </cell>
          <cell r="AI290" t="str">
            <v/>
          </cell>
          <cell r="AJ290" t="str">
            <v/>
          </cell>
          <cell r="AK290" t="str">
            <v/>
          </cell>
        </row>
        <row r="291">
          <cell r="A291">
            <v>1080500092</v>
          </cell>
          <cell r="B291" t="str">
            <v>Color Kit 2内衬2</v>
          </cell>
          <cell r="C291" t="str">
            <v/>
          </cell>
          <cell r="D291" t="str">
            <v>个</v>
          </cell>
          <cell r="E291" t="str">
            <v/>
          </cell>
          <cell r="F291" t="str">
            <v>Color Kit 2内衬2</v>
          </cell>
          <cell r="G291" t="str">
            <v>3DMakerpro</v>
          </cell>
          <cell r="H291" t="str">
            <v>其它物料</v>
          </cell>
          <cell r="I291" t="str">
            <v>否</v>
          </cell>
          <cell r="J291" t="str">
            <v>否</v>
          </cell>
          <cell r="K291" t="str">
            <v>深圳积木易搭科技技术有限公司</v>
          </cell>
          <cell r="L291" t="str">
            <v/>
          </cell>
          <cell r="M291" t="str">
            <v>2024-07-12 16:29:41</v>
          </cell>
          <cell r="N291" t="str">
            <v>2024-07-12 16:29:41</v>
          </cell>
          <cell r="O291" t="str">
            <v>单涛</v>
          </cell>
          <cell r="P291" t="str">
            <v/>
          </cell>
          <cell r="Q291" t="str">
            <v/>
          </cell>
          <cell r="R291" t="str">
            <v>否</v>
          </cell>
          <cell r="S291" t="str">
            <v/>
          </cell>
          <cell r="T291" t="str">
            <v/>
          </cell>
          <cell r="U291" t="str">
            <v/>
          </cell>
          <cell r="V291" t="str">
            <v/>
          </cell>
          <cell r="W291" t="str">
            <v/>
          </cell>
          <cell r="X291" t="str">
            <v/>
          </cell>
          <cell r="Y291" t="str">
            <v>1080500092</v>
          </cell>
          <cell r="Z291" t="str">
            <v>-</v>
          </cell>
          <cell r="AA291" t="str">
            <v/>
          </cell>
          <cell r="AB291" t="str">
            <v/>
          </cell>
          <cell r="AC291" t="str">
            <v/>
          </cell>
          <cell r="AD291" t="str">
            <v/>
          </cell>
          <cell r="AE291" t="str">
            <v/>
          </cell>
          <cell r="AF291" t="str">
            <v/>
          </cell>
          <cell r="AG291" t="str">
            <v/>
          </cell>
          <cell r="AH291" t="str">
            <v/>
          </cell>
          <cell r="AI291" t="str">
            <v/>
          </cell>
          <cell r="AJ291" t="str">
            <v/>
          </cell>
          <cell r="AK291" t="str">
            <v/>
          </cell>
        </row>
        <row r="292">
          <cell r="A292">
            <v>1080500091</v>
          </cell>
          <cell r="B292" t="str">
            <v>Color Kit 2内衬1</v>
          </cell>
          <cell r="C292" t="str">
            <v/>
          </cell>
          <cell r="D292" t="str">
            <v>个</v>
          </cell>
          <cell r="E292" t="str">
            <v/>
          </cell>
          <cell r="F292" t="str">
            <v>Color Kit 2内衬1</v>
          </cell>
          <cell r="G292" t="str">
            <v>3DMakerpro</v>
          </cell>
          <cell r="H292" t="str">
            <v>其它物料</v>
          </cell>
          <cell r="I292" t="str">
            <v>否</v>
          </cell>
          <cell r="J292" t="str">
            <v>否</v>
          </cell>
          <cell r="K292" t="str">
            <v>深圳积木易搭科技技术有限公司</v>
          </cell>
          <cell r="L292" t="str">
            <v/>
          </cell>
          <cell r="M292" t="str">
            <v>2024-07-12 16:28:29</v>
          </cell>
          <cell r="N292" t="str">
            <v>2024-07-12 16:28:29</v>
          </cell>
          <cell r="O292" t="str">
            <v>单涛</v>
          </cell>
          <cell r="P292" t="str">
            <v/>
          </cell>
          <cell r="Q292" t="str">
            <v/>
          </cell>
          <cell r="R292" t="str">
            <v>否</v>
          </cell>
          <cell r="S292" t="str">
            <v/>
          </cell>
          <cell r="T292" t="str">
            <v/>
          </cell>
          <cell r="U292" t="str">
            <v/>
          </cell>
          <cell r="V292" t="str">
            <v/>
          </cell>
          <cell r="W292" t="str">
            <v/>
          </cell>
          <cell r="X292" t="str">
            <v/>
          </cell>
          <cell r="Y292" t="str">
            <v>1080500091</v>
          </cell>
          <cell r="Z292" t="str">
            <v>-</v>
          </cell>
          <cell r="AA292" t="str">
            <v/>
          </cell>
          <cell r="AB292" t="str">
            <v/>
          </cell>
          <cell r="AC292" t="str">
            <v/>
          </cell>
          <cell r="AD292" t="str">
            <v/>
          </cell>
          <cell r="AE292" t="str">
            <v/>
          </cell>
          <cell r="AF292" t="str">
            <v/>
          </cell>
          <cell r="AG292" t="str">
            <v/>
          </cell>
          <cell r="AH292" t="str">
            <v/>
          </cell>
          <cell r="AI292" t="str">
            <v/>
          </cell>
          <cell r="AJ292" t="str">
            <v/>
          </cell>
          <cell r="AK292" t="str">
            <v/>
          </cell>
        </row>
        <row r="293">
          <cell r="A293">
            <v>1200100092</v>
          </cell>
          <cell r="B293" t="str">
            <v>Color Kit 2 主机</v>
          </cell>
          <cell r="C293" t="str">
            <v>Color Kit 2</v>
          </cell>
          <cell r="D293" t="str">
            <v>台</v>
          </cell>
          <cell r="E293" t="str">
            <v/>
          </cell>
          <cell r="F293" t="str">
            <v>Color Kit 2</v>
          </cell>
          <cell r="G293" t="str">
            <v>3DMakerpro</v>
          </cell>
          <cell r="H293" t="str">
            <v>三维扫描仪备品备件</v>
          </cell>
          <cell r="I293" t="str">
            <v>否</v>
          </cell>
          <cell r="J293" t="str">
            <v>否</v>
          </cell>
          <cell r="K293" t="str">
            <v>深圳积木易搭科技技术有限公司</v>
          </cell>
          <cell r="L293" t="str">
            <v/>
          </cell>
          <cell r="M293" t="str">
            <v>2024-07-12 16:26:43</v>
          </cell>
          <cell r="N293" t="str">
            <v>2024-09-18 08:48:22</v>
          </cell>
          <cell r="O293" t="str">
            <v>单涛</v>
          </cell>
          <cell r="P293" t="str">
            <v>单涛</v>
          </cell>
          <cell r="Q293" t="str">
            <v/>
          </cell>
          <cell r="R293" t="str">
            <v>否</v>
          </cell>
          <cell r="S293" t="str">
            <v/>
          </cell>
          <cell r="T293" t="str">
            <v/>
          </cell>
          <cell r="U293" t="str">
            <v/>
          </cell>
          <cell r="V293" t="str">
            <v/>
          </cell>
          <cell r="W293" t="str">
            <v/>
          </cell>
          <cell r="X293" t="str">
            <v/>
          </cell>
          <cell r="Y293" t="str">
            <v>1200100092</v>
          </cell>
          <cell r="Z293" t="str">
            <v>-</v>
          </cell>
          <cell r="AA293" t="str">
            <v/>
          </cell>
          <cell r="AB293" t="str">
            <v/>
          </cell>
          <cell r="AC293" t="str">
            <v/>
          </cell>
          <cell r="AD293" t="str">
            <v/>
          </cell>
          <cell r="AE293" t="str">
            <v/>
          </cell>
          <cell r="AF293" t="str">
            <v/>
          </cell>
          <cell r="AG293" t="str">
            <v/>
          </cell>
          <cell r="AH293" t="str">
            <v/>
          </cell>
          <cell r="AI293">
            <v>149.25</v>
          </cell>
          <cell r="AJ293" t="str">
            <v/>
          </cell>
          <cell r="AK293" t="str">
            <v/>
          </cell>
        </row>
        <row r="294">
          <cell r="A294">
            <v>1080400016</v>
          </cell>
          <cell r="B294" t="str">
            <v>whale 彩色套件盒</v>
          </cell>
          <cell r="C294" t="str">
            <v/>
          </cell>
          <cell r="D294" t="str">
            <v>台</v>
          </cell>
          <cell r="E294" t="str">
            <v/>
          </cell>
          <cell r="F294" t="str">
            <v>whale 彩色套件盒</v>
          </cell>
          <cell r="G294" t="str">
            <v>3DMakerpro</v>
          </cell>
          <cell r="H294" t="str">
            <v>其它物料</v>
          </cell>
          <cell r="I294" t="str">
            <v>否</v>
          </cell>
          <cell r="J294" t="str">
            <v>否</v>
          </cell>
          <cell r="K294" t="str">
            <v>深圳积木易搭科技技术有限公司</v>
          </cell>
          <cell r="L294" t="str">
            <v/>
          </cell>
          <cell r="M294" t="str">
            <v>2024-07-03 17:15:31</v>
          </cell>
          <cell r="N294" t="str">
            <v>2024-07-03 17:15:31</v>
          </cell>
          <cell r="O294" t="str">
            <v>单涛</v>
          </cell>
          <cell r="P294" t="str">
            <v/>
          </cell>
          <cell r="Q294" t="str">
            <v/>
          </cell>
          <cell r="R294" t="str">
            <v>否</v>
          </cell>
          <cell r="S294" t="str">
            <v>300*135*42（外尺寸）/厚度1mm/无丝印</v>
          </cell>
          <cell r="T294" t="str">
            <v/>
          </cell>
          <cell r="U294" t="str">
            <v/>
          </cell>
          <cell r="V294" t="str">
            <v/>
          </cell>
          <cell r="W294" t="str">
            <v/>
          </cell>
          <cell r="X294" t="str">
            <v/>
          </cell>
          <cell r="Y294" t="str">
            <v>1080400016</v>
          </cell>
          <cell r="Z294" t="str">
            <v>-</v>
          </cell>
          <cell r="AA294" t="str">
            <v/>
          </cell>
          <cell r="AB294" t="str">
            <v/>
          </cell>
          <cell r="AC294" t="str">
            <v/>
          </cell>
          <cell r="AD294" t="str">
            <v/>
          </cell>
          <cell r="AE294" t="str">
            <v/>
          </cell>
          <cell r="AF294" t="str">
            <v/>
          </cell>
          <cell r="AG294" t="str">
            <v/>
          </cell>
          <cell r="AH294" t="str">
            <v/>
          </cell>
          <cell r="AI294" t="str">
            <v/>
          </cell>
          <cell r="AJ294" t="str">
            <v/>
          </cell>
          <cell r="AK294" t="str">
            <v/>
          </cell>
        </row>
        <row r="295">
          <cell r="A295">
            <v>1040600065</v>
          </cell>
          <cell r="B295" t="str">
            <v>插头</v>
          </cell>
          <cell r="C295" t="str">
            <v/>
          </cell>
          <cell r="D295" t="str">
            <v>个</v>
          </cell>
          <cell r="E295" t="str">
            <v/>
          </cell>
          <cell r="F295" t="str">
            <v>英规插头/黑色（搭配CW1201000RE 电源适配器主体使用）</v>
          </cell>
          <cell r="G295" t="str">
            <v>3DMakerpro</v>
          </cell>
          <cell r="H295" t="str">
            <v>三维扫描仪备品备件</v>
          </cell>
          <cell r="I295" t="str">
            <v>否</v>
          </cell>
          <cell r="J295" t="str">
            <v>否</v>
          </cell>
          <cell r="K295" t="str">
            <v>深圳积木易搭科技技术有限公司</v>
          </cell>
          <cell r="L295" t="str">
            <v/>
          </cell>
          <cell r="M295" t="str">
            <v>2024-06-25 18:11:25</v>
          </cell>
          <cell r="N295" t="str">
            <v>2024-06-25 18:11:25</v>
          </cell>
          <cell r="O295" t="str">
            <v>单涛</v>
          </cell>
          <cell r="P295" t="str">
            <v/>
          </cell>
          <cell r="Q295" t="str">
            <v/>
          </cell>
          <cell r="R295" t="str">
            <v>否</v>
          </cell>
          <cell r="S295" t="str">
            <v/>
          </cell>
          <cell r="T295" t="str">
            <v/>
          </cell>
          <cell r="U295" t="str">
            <v/>
          </cell>
          <cell r="V295" t="str">
            <v/>
          </cell>
          <cell r="W295" t="str">
            <v/>
          </cell>
          <cell r="X295" t="str">
            <v/>
          </cell>
          <cell r="Y295" t="str">
            <v>1040600065</v>
          </cell>
          <cell r="Z295" t="str">
            <v>-</v>
          </cell>
          <cell r="AA295" t="str">
            <v/>
          </cell>
          <cell r="AB295" t="str">
            <v/>
          </cell>
          <cell r="AC295" t="str">
            <v/>
          </cell>
          <cell r="AD295" t="str">
            <v/>
          </cell>
          <cell r="AE295" t="str">
            <v/>
          </cell>
          <cell r="AF295" t="str">
            <v/>
          </cell>
          <cell r="AG295" t="str">
            <v/>
          </cell>
          <cell r="AH295" t="str">
            <v/>
          </cell>
          <cell r="AI295" t="str">
            <v/>
          </cell>
          <cell r="AJ295" t="str">
            <v/>
          </cell>
          <cell r="AK295" t="str">
            <v/>
          </cell>
        </row>
        <row r="296">
          <cell r="A296">
            <v>1080400054</v>
          </cell>
          <cell r="B296" t="str">
            <v>Moose天地盖包装配件盒</v>
          </cell>
          <cell r="C296" t="str">
            <v/>
          </cell>
          <cell r="D296" t="str">
            <v>个</v>
          </cell>
          <cell r="E296" t="str">
            <v/>
          </cell>
          <cell r="F296" t="str">
            <v>Moose天地盖包装配件盒</v>
          </cell>
          <cell r="G296" t="str">
            <v>3DMakerpro</v>
          </cell>
          <cell r="H296" t="str">
            <v>其它物料</v>
          </cell>
          <cell r="I296" t="str">
            <v>否</v>
          </cell>
          <cell r="J296" t="str">
            <v>否</v>
          </cell>
          <cell r="K296" t="str">
            <v>深圳积木易搭科技技术有限公司</v>
          </cell>
          <cell r="L296" t="str">
            <v/>
          </cell>
          <cell r="M296" t="str">
            <v>2024-06-21 19:08:33</v>
          </cell>
          <cell r="N296" t="str">
            <v>2024-06-21 19:08:33</v>
          </cell>
          <cell r="O296" t="str">
            <v>单涛</v>
          </cell>
          <cell r="P296" t="str">
            <v/>
          </cell>
          <cell r="Q296" t="str">
            <v/>
          </cell>
          <cell r="R296" t="str">
            <v>否</v>
          </cell>
          <cell r="S296" t="str">
            <v/>
          </cell>
          <cell r="T296" t="str">
            <v/>
          </cell>
          <cell r="U296" t="str">
            <v/>
          </cell>
          <cell r="V296" t="str">
            <v/>
          </cell>
          <cell r="W296" t="str">
            <v/>
          </cell>
          <cell r="X296" t="str">
            <v/>
          </cell>
          <cell r="Y296" t="str">
            <v>1080400054</v>
          </cell>
          <cell r="Z296" t="str">
            <v>-</v>
          </cell>
          <cell r="AA296" t="str">
            <v/>
          </cell>
          <cell r="AB296" t="str">
            <v/>
          </cell>
          <cell r="AC296" t="str">
            <v/>
          </cell>
          <cell r="AD296" t="str">
            <v/>
          </cell>
          <cell r="AE296" t="str">
            <v/>
          </cell>
          <cell r="AF296" t="str">
            <v/>
          </cell>
          <cell r="AG296" t="str">
            <v/>
          </cell>
          <cell r="AH296" t="str">
            <v/>
          </cell>
          <cell r="AI296" t="str">
            <v/>
          </cell>
          <cell r="AJ296" t="str">
            <v/>
          </cell>
          <cell r="AK296" t="str">
            <v/>
          </cell>
        </row>
        <row r="297">
          <cell r="A297">
            <v>1080500064</v>
          </cell>
          <cell r="B297" t="str">
            <v>内衬</v>
          </cell>
          <cell r="C297" t="str">
            <v/>
          </cell>
          <cell r="D297" t="str">
            <v>个</v>
          </cell>
          <cell r="E297" t="str">
            <v/>
          </cell>
          <cell r="F297" t="str">
            <v>内衬</v>
          </cell>
          <cell r="G297" t="str">
            <v>3DMakerpro</v>
          </cell>
          <cell r="H297" t="str">
            <v>其它物料</v>
          </cell>
          <cell r="I297" t="str">
            <v>否</v>
          </cell>
          <cell r="J297" t="str">
            <v>否</v>
          </cell>
          <cell r="K297" t="str">
            <v>深圳积木易搭科技技术有限公司</v>
          </cell>
          <cell r="L297" t="str">
            <v/>
          </cell>
          <cell r="M297" t="str">
            <v>2024-06-21 18:15:22</v>
          </cell>
          <cell r="N297" t="str">
            <v>2024-09-04 17:21:57</v>
          </cell>
          <cell r="O297" t="str">
            <v>单涛</v>
          </cell>
          <cell r="P297" t="str">
            <v>单涛</v>
          </cell>
          <cell r="Q297" t="str">
            <v/>
          </cell>
          <cell r="R297" t="str">
            <v>否</v>
          </cell>
          <cell r="S297" t="str">
            <v/>
          </cell>
          <cell r="T297" t="str">
            <v/>
          </cell>
          <cell r="U297" t="str">
            <v/>
          </cell>
          <cell r="V297" t="str">
            <v/>
          </cell>
          <cell r="W297" t="str">
            <v/>
          </cell>
          <cell r="X297" t="str">
            <v/>
          </cell>
          <cell r="Y297" t="str">
            <v>1080500064</v>
          </cell>
          <cell r="Z297" t="str">
            <v>-</v>
          </cell>
          <cell r="AA297" t="str">
            <v/>
          </cell>
          <cell r="AB297" t="str">
            <v/>
          </cell>
          <cell r="AC297" t="str">
            <v/>
          </cell>
          <cell r="AD297" t="str">
            <v/>
          </cell>
          <cell r="AE297" t="str">
            <v/>
          </cell>
          <cell r="AF297" t="str">
            <v/>
          </cell>
          <cell r="AG297" t="str">
            <v/>
          </cell>
          <cell r="AH297" t="str">
            <v/>
          </cell>
          <cell r="AI297" t="str">
            <v/>
          </cell>
          <cell r="AJ297" t="str">
            <v/>
          </cell>
          <cell r="AK297" t="str">
            <v/>
          </cell>
        </row>
        <row r="298">
          <cell r="A298">
            <v>1080400043</v>
          </cell>
          <cell r="B298" t="str">
            <v>Smart Grip手柄包装盒</v>
          </cell>
          <cell r="C298" t="str">
            <v/>
          </cell>
          <cell r="D298" t="str">
            <v>个</v>
          </cell>
          <cell r="E298" t="str">
            <v/>
          </cell>
          <cell r="F298" t="str">
            <v>Smart Grip手柄包装盒</v>
          </cell>
          <cell r="G298" t="str">
            <v/>
          </cell>
          <cell r="H298" t="str">
            <v>其它物料</v>
          </cell>
          <cell r="I298" t="str">
            <v>否</v>
          </cell>
          <cell r="J298" t="str">
            <v>否</v>
          </cell>
          <cell r="K298" t="str">
            <v>深圳积木易搭科技技术有限公司</v>
          </cell>
          <cell r="L298" t="str">
            <v/>
          </cell>
          <cell r="M298" t="str">
            <v>2024-06-21 18:14:34</v>
          </cell>
          <cell r="N298" t="str">
            <v>2024-06-21 18:14:34</v>
          </cell>
          <cell r="O298" t="str">
            <v>单涛</v>
          </cell>
          <cell r="P298" t="str">
            <v/>
          </cell>
          <cell r="Q298" t="str">
            <v/>
          </cell>
          <cell r="R298" t="str">
            <v>否</v>
          </cell>
          <cell r="S298" t="str">
            <v/>
          </cell>
          <cell r="T298" t="str">
            <v/>
          </cell>
          <cell r="U298" t="str">
            <v/>
          </cell>
          <cell r="V298" t="str">
            <v/>
          </cell>
          <cell r="W298" t="str">
            <v/>
          </cell>
          <cell r="X298" t="str">
            <v/>
          </cell>
          <cell r="Y298" t="str">
            <v>1080400043</v>
          </cell>
          <cell r="Z298" t="str">
            <v>-</v>
          </cell>
          <cell r="AA298" t="str">
            <v/>
          </cell>
          <cell r="AB298" t="str">
            <v/>
          </cell>
          <cell r="AC298" t="str">
            <v/>
          </cell>
          <cell r="AD298" t="str">
            <v/>
          </cell>
          <cell r="AE298" t="str">
            <v/>
          </cell>
          <cell r="AF298" t="str">
            <v/>
          </cell>
          <cell r="AG298" t="str">
            <v/>
          </cell>
          <cell r="AH298" t="str">
            <v/>
          </cell>
          <cell r="AI298" t="str">
            <v/>
          </cell>
          <cell r="AJ298" t="str">
            <v/>
          </cell>
          <cell r="AK298" t="str">
            <v/>
          </cell>
        </row>
        <row r="299">
          <cell r="A299">
            <v>1010100193</v>
          </cell>
          <cell r="B299" t="str">
            <v>耳扫底座</v>
          </cell>
          <cell r="C299" t="str">
            <v/>
          </cell>
          <cell r="D299" t="str">
            <v>个</v>
          </cell>
          <cell r="E299" t="str">
            <v/>
          </cell>
          <cell r="F299" t="str">
            <v>耳扫底座</v>
          </cell>
          <cell r="G299" t="str">
            <v/>
          </cell>
          <cell r="H299" t="str">
            <v>三维扫描仪备品备件</v>
          </cell>
          <cell r="I299" t="str">
            <v>否</v>
          </cell>
          <cell r="J299" t="str">
            <v>否</v>
          </cell>
          <cell r="K299" t="str">
            <v>深圳积木易搭科技技术有限公司</v>
          </cell>
          <cell r="L299" t="str">
            <v/>
          </cell>
          <cell r="M299" t="str">
            <v>2024-06-11 16:57:28</v>
          </cell>
          <cell r="N299" t="str">
            <v>2024-06-11 16:57:28</v>
          </cell>
          <cell r="O299" t="str">
            <v>单涛</v>
          </cell>
          <cell r="P299" t="str">
            <v/>
          </cell>
          <cell r="Q299" t="str">
            <v/>
          </cell>
          <cell r="R299" t="str">
            <v>否</v>
          </cell>
          <cell r="S299" t="str">
            <v/>
          </cell>
          <cell r="T299" t="str">
            <v/>
          </cell>
          <cell r="U299" t="str">
            <v/>
          </cell>
          <cell r="V299" t="str">
            <v/>
          </cell>
          <cell r="W299" t="str">
            <v/>
          </cell>
          <cell r="X299" t="str">
            <v/>
          </cell>
          <cell r="Y299" t="str">
            <v>1010100193</v>
          </cell>
          <cell r="Z299" t="str">
            <v>-</v>
          </cell>
          <cell r="AA299" t="str">
            <v/>
          </cell>
          <cell r="AB299" t="str">
            <v/>
          </cell>
          <cell r="AC299" t="str">
            <v/>
          </cell>
          <cell r="AD299" t="str">
            <v/>
          </cell>
          <cell r="AE299" t="str">
            <v/>
          </cell>
          <cell r="AF299" t="str">
            <v/>
          </cell>
          <cell r="AG299" t="str">
            <v/>
          </cell>
          <cell r="AH299" t="str">
            <v/>
          </cell>
          <cell r="AI299" t="str">
            <v/>
          </cell>
          <cell r="AJ299" t="str">
            <v/>
          </cell>
          <cell r="AK299" t="str">
            <v/>
          </cell>
        </row>
        <row r="300">
          <cell r="A300">
            <v>1010100192</v>
          </cell>
          <cell r="B300" t="str">
            <v>耳扫上盖</v>
          </cell>
          <cell r="C300" t="str">
            <v/>
          </cell>
          <cell r="D300" t="str">
            <v>个</v>
          </cell>
          <cell r="E300" t="str">
            <v/>
          </cell>
          <cell r="F300" t="str">
            <v>耳扫上盖</v>
          </cell>
          <cell r="G300" t="str">
            <v/>
          </cell>
          <cell r="H300" t="str">
            <v>三维扫描仪备品备件</v>
          </cell>
          <cell r="I300" t="str">
            <v>否</v>
          </cell>
          <cell r="J300" t="str">
            <v>否</v>
          </cell>
          <cell r="K300" t="str">
            <v>深圳积木易搭科技技术有限公司</v>
          </cell>
          <cell r="L300" t="str">
            <v/>
          </cell>
          <cell r="M300" t="str">
            <v>2024-06-11 16:56:22</v>
          </cell>
          <cell r="N300" t="str">
            <v>2024-06-11 16:56:22</v>
          </cell>
          <cell r="O300" t="str">
            <v>单涛</v>
          </cell>
          <cell r="P300" t="str">
            <v/>
          </cell>
          <cell r="Q300" t="str">
            <v/>
          </cell>
          <cell r="R300" t="str">
            <v>否</v>
          </cell>
          <cell r="S300" t="str">
            <v/>
          </cell>
          <cell r="T300" t="str">
            <v/>
          </cell>
          <cell r="U300" t="str">
            <v/>
          </cell>
          <cell r="V300" t="str">
            <v/>
          </cell>
          <cell r="W300" t="str">
            <v/>
          </cell>
          <cell r="X300" t="str">
            <v/>
          </cell>
          <cell r="Y300" t="str">
            <v>1010100192</v>
          </cell>
          <cell r="Z300" t="str">
            <v>-</v>
          </cell>
          <cell r="AA300" t="str">
            <v/>
          </cell>
          <cell r="AB300" t="str">
            <v/>
          </cell>
          <cell r="AC300" t="str">
            <v/>
          </cell>
          <cell r="AD300" t="str">
            <v/>
          </cell>
          <cell r="AE300" t="str">
            <v/>
          </cell>
          <cell r="AF300" t="str">
            <v/>
          </cell>
          <cell r="AG300" t="str">
            <v/>
          </cell>
          <cell r="AH300" t="str">
            <v/>
          </cell>
          <cell r="AI300" t="str">
            <v/>
          </cell>
          <cell r="AJ300" t="str">
            <v/>
          </cell>
          <cell r="AK300" t="str">
            <v/>
          </cell>
        </row>
        <row r="301">
          <cell r="A301">
            <v>1200200067</v>
          </cell>
          <cell r="B301" t="str">
            <v>PCBA</v>
          </cell>
          <cell r="C301" t="str">
            <v/>
          </cell>
          <cell r="D301" t="str">
            <v>台</v>
          </cell>
          <cell r="E301" t="str">
            <v/>
          </cell>
          <cell r="F301" t="str">
            <v>PCBA</v>
          </cell>
          <cell r="G301" t="str">
            <v/>
          </cell>
          <cell r="H301" t="str">
            <v>三维扫描仪备品备件</v>
          </cell>
          <cell r="I301" t="str">
            <v>否</v>
          </cell>
          <cell r="J301" t="str">
            <v>否</v>
          </cell>
          <cell r="K301" t="str">
            <v>深圳积木易搭科技技术有限公司</v>
          </cell>
          <cell r="L301" t="str">
            <v/>
          </cell>
          <cell r="M301" t="str">
            <v>2024-06-03 11:07:01</v>
          </cell>
          <cell r="N301" t="str">
            <v>2024-06-03 11:07:01</v>
          </cell>
          <cell r="O301" t="str">
            <v>单涛</v>
          </cell>
          <cell r="P301" t="str">
            <v/>
          </cell>
          <cell r="Q301" t="str">
            <v/>
          </cell>
          <cell r="R301" t="str">
            <v>否</v>
          </cell>
          <cell r="S301" t="str">
            <v/>
          </cell>
          <cell r="T301" t="str">
            <v/>
          </cell>
          <cell r="U301" t="str">
            <v/>
          </cell>
          <cell r="V301" t="str">
            <v/>
          </cell>
          <cell r="W301" t="str">
            <v/>
          </cell>
          <cell r="X301" t="str">
            <v/>
          </cell>
          <cell r="Y301" t="str">
            <v>1200200067</v>
          </cell>
          <cell r="Z301" t="str">
            <v>-</v>
          </cell>
          <cell r="AA301" t="str">
            <v/>
          </cell>
          <cell r="AB301" t="str">
            <v/>
          </cell>
          <cell r="AC301" t="str">
            <v/>
          </cell>
          <cell r="AD301" t="str">
            <v/>
          </cell>
          <cell r="AE301" t="str">
            <v/>
          </cell>
          <cell r="AF301" t="str">
            <v/>
          </cell>
          <cell r="AG301" t="str">
            <v/>
          </cell>
          <cell r="AH301" t="str">
            <v/>
          </cell>
          <cell r="AI301" t="str">
            <v/>
          </cell>
          <cell r="AJ301" t="str">
            <v/>
          </cell>
          <cell r="AK301" t="str">
            <v/>
          </cell>
        </row>
        <row r="302">
          <cell r="A302">
            <v>1010100147</v>
          </cell>
          <cell r="B302" t="str">
            <v>耳扫面板</v>
          </cell>
          <cell r="C302" t="str">
            <v/>
          </cell>
          <cell r="D302" t="str">
            <v>个</v>
          </cell>
          <cell r="E302" t="str">
            <v/>
          </cell>
          <cell r="F302" t="str">
            <v>耳扫面板</v>
          </cell>
          <cell r="G302" t="str">
            <v/>
          </cell>
          <cell r="H302" t="str">
            <v>三维扫描仪备品备件</v>
          </cell>
          <cell r="I302" t="str">
            <v>否</v>
          </cell>
          <cell r="J302" t="str">
            <v>否</v>
          </cell>
          <cell r="K302" t="str">
            <v>深圳积木易搭科技技术有限公司</v>
          </cell>
          <cell r="L302" t="str">
            <v/>
          </cell>
          <cell r="M302" t="str">
            <v>2024-06-03 11:06:03</v>
          </cell>
          <cell r="N302" t="str">
            <v>2025-03-13 10:06:30</v>
          </cell>
          <cell r="O302" t="str">
            <v>单涛</v>
          </cell>
          <cell r="P302" t="str">
            <v>单涛</v>
          </cell>
          <cell r="Q302" t="str">
            <v/>
          </cell>
          <cell r="R302" t="str">
            <v>否</v>
          </cell>
          <cell r="S302" t="str">
            <v/>
          </cell>
          <cell r="T302" t="str">
            <v/>
          </cell>
          <cell r="U302" t="str">
            <v/>
          </cell>
          <cell r="V302" t="str">
            <v/>
          </cell>
          <cell r="W302" t="str">
            <v/>
          </cell>
          <cell r="X302" t="str">
            <v/>
          </cell>
          <cell r="Y302" t="str">
            <v>1010100147</v>
          </cell>
          <cell r="Z302" t="str">
            <v>-</v>
          </cell>
          <cell r="AA302" t="str">
            <v/>
          </cell>
          <cell r="AB302" t="str">
            <v/>
          </cell>
          <cell r="AC302" t="str">
            <v/>
          </cell>
          <cell r="AD302" t="str">
            <v/>
          </cell>
          <cell r="AE302" t="str">
            <v/>
          </cell>
          <cell r="AF302" t="str">
            <v/>
          </cell>
          <cell r="AG302" t="str">
            <v/>
          </cell>
          <cell r="AH302" t="str">
            <v/>
          </cell>
          <cell r="AI302" t="str">
            <v/>
          </cell>
          <cell r="AJ302" t="str">
            <v/>
          </cell>
          <cell r="AK302" t="str">
            <v/>
          </cell>
        </row>
        <row r="303">
          <cell r="A303">
            <v>1200100088</v>
          </cell>
          <cell r="B303" t="str">
            <v>500*350mm标定板套装</v>
          </cell>
          <cell r="C303" t="str">
            <v/>
          </cell>
          <cell r="D303" t="str">
            <v>个</v>
          </cell>
          <cell r="E303" t="str">
            <v/>
          </cell>
          <cell r="F303" t="str">
            <v>500*350mm标定板套装</v>
          </cell>
          <cell r="G303" t="str">
            <v>3DMakerpro</v>
          </cell>
          <cell r="H303" t="str">
            <v>三维扫描仪备品备件</v>
          </cell>
          <cell r="I303" t="str">
            <v>否</v>
          </cell>
          <cell r="J303" t="str">
            <v>否</v>
          </cell>
          <cell r="K303" t="str">
            <v>深圳积木易搭科技技术有限公司</v>
          </cell>
          <cell r="L303" t="str">
            <v/>
          </cell>
          <cell r="M303" t="str">
            <v>2024-05-30 17:58:12</v>
          </cell>
          <cell r="N303" t="str">
            <v>2024-05-30 17:58:12</v>
          </cell>
          <cell r="O303" t="str">
            <v>单涛</v>
          </cell>
          <cell r="P303" t="str">
            <v/>
          </cell>
          <cell r="Q303" t="str">
            <v/>
          </cell>
          <cell r="R303" t="str">
            <v>否</v>
          </cell>
          <cell r="S303" t="str">
            <v/>
          </cell>
          <cell r="T303" t="str">
            <v/>
          </cell>
          <cell r="U303" t="str">
            <v/>
          </cell>
          <cell r="V303" t="str">
            <v/>
          </cell>
          <cell r="W303" t="str">
            <v/>
          </cell>
          <cell r="X303" t="str">
            <v/>
          </cell>
          <cell r="Y303" t="str">
            <v>1200100088</v>
          </cell>
          <cell r="Z303" t="str">
            <v>-</v>
          </cell>
          <cell r="AA303" t="str">
            <v/>
          </cell>
          <cell r="AB303" t="str">
            <v/>
          </cell>
          <cell r="AC303" t="str">
            <v/>
          </cell>
          <cell r="AD303" t="str">
            <v/>
          </cell>
          <cell r="AE303" t="str">
            <v/>
          </cell>
          <cell r="AF303" t="str">
            <v/>
          </cell>
          <cell r="AG303" t="str">
            <v/>
          </cell>
          <cell r="AH303" t="str">
            <v/>
          </cell>
          <cell r="AI303" t="str">
            <v/>
          </cell>
          <cell r="AJ303" t="str">
            <v/>
          </cell>
          <cell r="AK303" t="str">
            <v/>
          </cell>
        </row>
        <row r="304">
          <cell r="A304">
            <v>1300100148</v>
          </cell>
          <cell r="B304" t="str">
            <v>三维扫描仪 JMA1(美规)</v>
          </cell>
          <cell r="C304" t="str">
            <v/>
          </cell>
          <cell r="D304" t="str">
            <v>台</v>
          </cell>
          <cell r="E304" t="str">
            <v/>
          </cell>
          <cell r="F304" t="str">
            <v>三维扫描仪 JMA1(美规)</v>
          </cell>
          <cell r="G304" t="str">
            <v>3DMakerpro</v>
          </cell>
          <cell r="H304" t="str">
            <v>三维扫描仪-JMA1</v>
          </cell>
          <cell r="I304" t="str">
            <v>否</v>
          </cell>
          <cell r="J304" t="str">
            <v>否</v>
          </cell>
          <cell r="K304" t="str">
            <v>深圳积木易搭科技技术有限公司</v>
          </cell>
          <cell r="L304" t="str">
            <v/>
          </cell>
          <cell r="M304" t="str">
            <v>2024-05-16 17:06:51</v>
          </cell>
          <cell r="N304" t="str">
            <v>2025-01-14 13:57:35</v>
          </cell>
          <cell r="O304" t="str">
            <v>单涛</v>
          </cell>
          <cell r="P304" t="str">
            <v/>
          </cell>
          <cell r="Q304" t="str">
            <v/>
          </cell>
          <cell r="R304" t="str">
            <v>否</v>
          </cell>
          <cell r="S304" t="str">
            <v/>
          </cell>
          <cell r="T304" t="str">
            <v/>
          </cell>
          <cell r="U304" t="str">
            <v/>
          </cell>
          <cell r="V304" t="str">
            <v/>
          </cell>
          <cell r="W304" t="str">
            <v/>
          </cell>
          <cell r="X304" t="str">
            <v/>
          </cell>
          <cell r="Y304" t="str">
            <v>1300100148</v>
          </cell>
          <cell r="Z304" t="str">
            <v>JMA1</v>
          </cell>
          <cell r="AA304" t="str">
            <v/>
          </cell>
          <cell r="AB304" t="str">
            <v/>
          </cell>
          <cell r="AC304" t="str">
            <v/>
          </cell>
          <cell r="AD304" t="str">
            <v/>
          </cell>
          <cell r="AE304" t="str">
            <v/>
          </cell>
          <cell r="AF304" t="str">
            <v/>
          </cell>
          <cell r="AG304" t="str">
            <v/>
          </cell>
          <cell r="AH304" t="str">
            <v/>
          </cell>
          <cell r="AI304" t="str">
            <v/>
          </cell>
          <cell r="AJ304" t="str">
            <v>9031499000</v>
          </cell>
          <cell r="AK304" t="str">
            <v/>
          </cell>
        </row>
        <row r="305">
          <cell r="A305">
            <v>1050200010</v>
          </cell>
          <cell r="B305" t="str">
            <v>加密狗</v>
          </cell>
          <cell r="C305" t="str">
            <v/>
          </cell>
          <cell r="D305" t="str">
            <v>个</v>
          </cell>
          <cell r="E305" t="str">
            <v/>
          </cell>
          <cell r="F305" t="str">
            <v>加密狗 ET ARM</v>
          </cell>
          <cell r="G305" t="str">
            <v>3DMakerpro</v>
          </cell>
          <cell r="H305" t="str">
            <v>三维扫描仪备品备件</v>
          </cell>
          <cell r="I305" t="str">
            <v>否</v>
          </cell>
          <cell r="J305" t="str">
            <v>否</v>
          </cell>
          <cell r="K305" t="str">
            <v>深圳积木易搭科技技术有限公司</v>
          </cell>
          <cell r="L305" t="str">
            <v/>
          </cell>
          <cell r="M305" t="str">
            <v>2024-05-13 17:01:25</v>
          </cell>
          <cell r="N305" t="str">
            <v>2024-05-13 17:01:25</v>
          </cell>
          <cell r="O305" t="str">
            <v>单涛</v>
          </cell>
          <cell r="P305" t="str">
            <v/>
          </cell>
          <cell r="Q305" t="str">
            <v/>
          </cell>
          <cell r="R305" t="str">
            <v>否</v>
          </cell>
          <cell r="S305" t="str">
            <v/>
          </cell>
          <cell r="T305" t="str">
            <v/>
          </cell>
          <cell r="U305" t="str">
            <v/>
          </cell>
          <cell r="V305" t="str">
            <v/>
          </cell>
          <cell r="W305" t="str">
            <v/>
          </cell>
          <cell r="X305" t="str">
            <v/>
          </cell>
          <cell r="Y305" t="str">
            <v>1050200010</v>
          </cell>
          <cell r="Z305" t="str">
            <v>-</v>
          </cell>
          <cell r="AA305" t="str">
            <v/>
          </cell>
          <cell r="AB305" t="str">
            <v/>
          </cell>
          <cell r="AC305" t="str">
            <v/>
          </cell>
          <cell r="AD305" t="str">
            <v/>
          </cell>
          <cell r="AE305" t="str">
            <v/>
          </cell>
          <cell r="AF305" t="str">
            <v/>
          </cell>
          <cell r="AG305" t="str">
            <v/>
          </cell>
          <cell r="AH305" t="str">
            <v/>
          </cell>
          <cell r="AI305" t="str">
            <v/>
          </cell>
          <cell r="AJ305" t="str">
            <v/>
          </cell>
          <cell r="AK305" t="str">
            <v/>
          </cell>
        </row>
        <row r="306">
          <cell r="A306">
            <v>1050700027</v>
          </cell>
          <cell r="B306" t="str">
            <v>圆点标定板</v>
          </cell>
          <cell r="C306" t="str">
            <v/>
          </cell>
          <cell r="D306" t="str">
            <v>个</v>
          </cell>
          <cell r="E306" t="str">
            <v/>
          </cell>
          <cell r="F306" t="str">
            <v>圆点标定板</v>
          </cell>
          <cell r="G306" t="str">
            <v>3DMakerpro</v>
          </cell>
          <cell r="H306" t="str">
            <v>三维扫描仪备品备件</v>
          </cell>
          <cell r="I306" t="str">
            <v>否</v>
          </cell>
          <cell r="J306" t="str">
            <v>否</v>
          </cell>
          <cell r="K306" t="str">
            <v>深圳积木易搭科技技术有限公司</v>
          </cell>
          <cell r="L306" t="str">
            <v/>
          </cell>
          <cell r="M306" t="str">
            <v>2024-05-13 17:00:18</v>
          </cell>
          <cell r="N306" t="str">
            <v>2024-05-13 17:00:18</v>
          </cell>
          <cell r="O306" t="str">
            <v>单涛</v>
          </cell>
          <cell r="P306" t="str">
            <v/>
          </cell>
          <cell r="Q306" t="str">
            <v/>
          </cell>
          <cell r="R306" t="str">
            <v>否</v>
          </cell>
          <cell r="S306" t="str">
            <v/>
          </cell>
          <cell r="T306" t="str">
            <v/>
          </cell>
          <cell r="U306" t="str">
            <v/>
          </cell>
          <cell r="V306" t="str">
            <v/>
          </cell>
          <cell r="W306" t="str">
            <v/>
          </cell>
          <cell r="X306" t="str">
            <v/>
          </cell>
          <cell r="Y306" t="str">
            <v>1050700027</v>
          </cell>
          <cell r="Z306" t="str">
            <v>-</v>
          </cell>
          <cell r="AA306" t="str">
            <v/>
          </cell>
          <cell r="AB306" t="str">
            <v/>
          </cell>
          <cell r="AC306" t="str">
            <v/>
          </cell>
          <cell r="AD306" t="str">
            <v/>
          </cell>
          <cell r="AE306" t="str">
            <v/>
          </cell>
          <cell r="AF306" t="str">
            <v/>
          </cell>
          <cell r="AG306" t="str">
            <v/>
          </cell>
          <cell r="AH306" t="str">
            <v/>
          </cell>
          <cell r="AI306" t="str">
            <v/>
          </cell>
          <cell r="AJ306" t="str">
            <v/>
          </cell>
          <cell r="AK306" t="str">
            <v/>
          </cell>
        </row>
        <row r="307">
          <cell r="A307">
            <v>1040600031</v>
          </cell>
          <cell r="B307" t="str">
            <v>魔法棒电源适配器</v>
          </cell>
          <cell r="C307" t="str">
            <v/>
          </cell>
          <cell r="D307" t="str">
            <v>个</v>
          </cell>
          <cell r="E307" t="str">
            <v/>
          </cell>
          <cell r="F307" t="str">
            <v>魔法棒电源适配器</v>
          </cell>
          <cell r="G307" t="str">
            <v>3DMakerpro</v>
          </cell>
          <cell r="H307" t="str">
            <v>三维扫描仪备品备件</v>
          </cell>
          <cell r="I307" t="str">
            <v>否</v>
          </cell>
          <cell r="J307" t="str">
            <v>否</v>
          </cell>
          <cell r="K307" t="str">
            <v>深圳积木易搭科技技术有限公司</v>
          </cell>
          <cell r="L307" t="str">
            <v/>
          </cell>
          <cell r="M307" t="str">
            <v>2024-05-07 09:57:00</v>
          </cell>
          <cell r="N307" t="str">
            <v>2024-05-07 09:57:25</v>
          </cell>
          <cell r="O307" t="str">
            <v>单涛</v>
          </cell>
          <cell r="P307" t="str">
            <v>单涛</v>
          </cell>
          <cell r="Q307" t="str">
            <v/>
          </cell>
          <cell r="R307" t="str">
            <v>否</v>
          </cell>
          <cell r="S307" t="str">
            <v/>
          </cell>
          <cell r="T307" t="str">
            <v/>
          </cell>
          <cell r="U307" t="str">
            <v/>
          </cell>
          <cell r="V307" t="str">
            <v/>
          </cell>
          <cell r="W307" t="str">
            <v/>
          </cell>
          <cell r="X307" t="str">
            <v/>
          </cell>
          <cell r="Y307" t="str">
            <v>1040600031</v>
          </cell>
          <cell r="Z307" t="str">
            <v>-</v>
          </cell>
          <cell r="AA307" t="str">
            <v/>
          </cell>
          <cell r="AB307" t="str">
            <v/>
          </cell>
          <cell r="AC307" t="str">
            <v/>
          </cell>
          <cell r="AD307" t="str">
            <v/>
          </cell>
          <cell r="AE307" t="str">
            <v/>
          </cell>
          <cell r="AF307" t="str">
            <v/>
          </cell>
          <cell r="AG307" t="str">
            <v/>
          </cell>
          <cell r="AH307" t="str">
            <v/>
          </cell>
          <cell r="AI307" t="str">
            <v/>
          </cell>
          <cell r="AJ307" t="str">
            <v/>
          </cell>
          <cell r="AK307" t="str">
            <v/>
          </cell>
        </row>
        <row r="308">
          <cell r="A308">
            <v>1050100005</v>
          </cell>
          <cell r="B308" t="str">
            <v>Core三脚架</v>
          </cell>
          <cell r="C308" t="str">
            <v/>
          </cell>
          <cell r="D308" t="str">
            <v>台</v>
          </cell>
          <cell r="E308" t="str">
            <v/>
          </cell>
          <cell r="F308" t="str">
            <v>Q620脚架+Q90云台</v>
          </cell>
          <cell r="G308" t="str">
            <v>3DMakerpro</v>
          </cell>
          <cell r="H308" t="str">
            <v>三维扫描仪备品备件</v>
          </cell>
          <cell r="I308" t="str">
            <v>否</v>
          </cell>
          <cell r="J308" t="str">
            <v>否</v>
          </cell>
          <cell r="K308" t="str">
            <v>深圳积木易搭科技技术有限公司</v>
          </cell>
          <cell r="L308" t="str">
            <v/>
          </cell>
          <cell r="M308" t="str">
            <v>2024-04-25 14:08:54</v>
          </cell>
          <cell r="N308" t="str">
            <v>2025-03-26 11:29:39</v>
          </cell>
          <cell r="O308" t="str">
            <v>单涛</v>
          </cell>
          <cell r="P308" t="str">
            <v/>
          </cell>
          <cell r="Q308" t="str">
            <v/>
          </cell>
          <cell r="R308" t="str">
            <v>否</v>
          </cell>
          <cell r="S308" t="str">
            <v/>
          </cell>
          <cell r="T308" t="str">
            <v/>
          </cell>
          <cell r="U308" t="str">
            <v/>
          </cell>
          <cell r="V308" t="str">
            <v/>
          </cell>
          <cell r="W308" t="str">
            <v/>
          </cell>
          <cell r="X308" t="str">
            <v/>
          </cell>
          <cell r="Y308" t="str">
            <v>1050100005</v>
          </cell>
          <cell r="Z308" t="str">
            <v>-</v>
          </cell>
          <cell r="AA308" t="str">
            <v/>
          </cell>
          <cell r="AB308" t="str">
            <v/>
          </cell>
          <cell r="AC308" t="str">
            <v/>
          </cell>
          <cell r="AD308" t="str">
            <v/>
          </cell>
          <cell r="AE308" t="str">
            <v/>
          </cell>
          <cell r="AF308" t="str">
            <v/>
          </cell>
          <cell r="AG308" t="str">
            <v/>
          </cell>
          <cell r="AH308" t="str">
            <v/>
          </cell>
          <cell r="AI308" t="str">
            <v/>
          </cell>
          <cell r="AJ308" t="str">
            <v>9620009000</v>
          </cell>
          <cell r="AK308" t="str">
            <v/>
          </cell>
        </row>
        <row r="309">
          <cell r="A309">
            <v>1021900168</v>
          </cell>
          <cell r="B309" t="str">
            <v>Moose一体线缆</v>
          </cell>
          <cell r="C309" t="str">
            <v>Moose Cable</v>
          </cell>
          <cell r="D309" t="str">
            <v>根</v>
          </cell>
          <cell r="E309" t="str">
            <v>6975925241279</v>
          </cell>
          <cell r="F309" t="str">
            <v>Moose一体线缆</v>
          </cell>
          <cell r="G309" t="str">
            <v>3DMakerpro</v>
          </cell>
          <cell r="H309" t="str">
            <v>三维扫描仪备品备件</v>
          </cell>
          <cell r="I309" t="str">
            <v>否</v>
          </cell>
          <cell r="J309" t="str">
            <v>否</v>
          </cell>
          <cell r="K309" t="str">
            <v>深圳积木易搭科技技术有限公司</v>
          </cell>
          <cell r="L309" t="str">
            <v/>
          </cell>
          <cell r="M309" t="str">
            <v>2024-04-17 14:44:39</v>
          </cell>
          <cell r="N309" t="str">
            <v>2025-06-13 14:15:06</v>
          </cell>
          <cell r="O309" t="str">
            <v>单涛</v>
          </cell>
          <cell r="P309" t="str">
            <v>单涛</v>
          </cell>
          <cell r="Q309" t="str">
            <v/>
          </cell>
          <cell r="R309" t="str">
            <v>否</v>
          </cell>
          <cell r="S309" t="str">
            <v>非销售包装</v>
          </cell>
          <cell r="T309" t="str">
            <v/>
          </cell>
          <cell r="U309" t="str">
            <v/>
          </cell>
          <cell r="V309" t="str">
            <v/>
          </cell>
          <cell r="W309" t="str">
            <v/>
          </cell>
          <cell r="X309" t="str">
            <v/>
          </cell>
          <cell r="Y309" t="str">
            <v>1021900168</v>
          </cell>
          <cell r="Z309" t="str">
            <v>-</v>
          </cell>
          <cell r="AA309" t="str">
            <v>6975925241279</v>
          </cell>
          <cell r="AB309">
            <v>20</v>
          </cell>
          <cell r="AC309">
            <v>6</v>
          </cell>
          <cell r="AD309">
            <v>6</v>
          </cell>
          <cell r="AE309">
            <v>720</v>
          </cell>
          <cell r="AF309" t="str">
            <v>cm³</v>
          </cell>
          <cell r="AG309">
            <v>0.18</v>
          </cell>
          <cell r="AH309" t="str">
            <v>kg</v>
          </cell>
          <cell r="AI309">
            <v>29.25</v>
          </cell>
          <cell r="AJ309" t="str">
            <v>8544421100</v>
          </cell>
          <cell r="AK309" t="str">
            <v>长度：2米</v>
          </cell>
        </row>
        <row r="310">
          <cell r="A310">
            <v>1021900086</v>
          </cell>
          <cell r="B310" t="str">
            <v>相机数据线</v>
          </cell>
          <cell r="C310" t="str">
            <v/>
          </cell>
          <cell r="D310" t="str">
            <v>根</v>
          </cell>
          <cell r="E310" t="str">
            <v/>
          </cell>
          <cell r="F310" t="str">
            <v>6D Mark ||配套相机数据线</v>
          </cell>
          <cell r="G310" t="str">
            <v>3DMakerpro</v>
          </cell>
          <cell r="H310" t="str">
            <v>三维扫描仪备品备件</v>
          </cell>
          <cell r="I310" t="str">
            <v>否</v>
          </cell>
          <cell r="J310" t="str">
            <v>否</v>
          </cell>
          <cell r="K310" t="str">
            <v>深圳积木易搭科技技术有限公司</v>
          </cell>
          <cell r="L310" t="str">
            <v/>
          </cell>
          <cell r="M310" t="str">
            <v>2024-04-12 09:37:31</v>
          </cell>
          <cell r="N310" t="str">
            <v>2024-04-12 09:37:31</v>
          </cell>
          <cell r="O310" t="str">
            <v>单涛</v>
          </cell>
          <cell r="P310" t="str">
            <v/>
          </cell>
          <cell r="Q310" t="str">
            <v/>
          </cell>
          <cell r="R310" t="str">
            <v>否</v>
          </cell>
          <cell r="S310" t="str">
            <v/>
          </cell>
          <cell r="T310" t="str">
            <v/>
          </cell>
          <cell r="U310" t="str">
            <v/>
          </cell>
          <cell r="V310" t="str">
            <v/>
          </cell>
          <cell r="W310" t="str">
            <v/>
          </cell>
          <cell r="X310" t="str">
            <v/>
          </cell>
          <cell r="Y310" t="str">
            <v>1021900086</v>
          </cell>
          <cell r="Z310" t="str">
            <v>-</v>
          </cell>
          <cell r="AA310" t="str">
            <v/>
          </cell>
          <cell r="AB310" t="str">
            <v/>
          </cell>
          <cell r="AC310" t="str">
            <v/>
          </cell>
          <cell r="AD310" t="str">
            <v/>
          </cell>
          <cell r="AE310" t="str">
            <v/>
          </cell>
          <cell r="AF310" t="str">
            <v/>
          </cell>
          <cell r="AG310" t="str">
            <v/>
          </cell>
          <cell r="AH310" t="str">
            <v/>
          </cell>
          <cell r="AI310" t="str">
            <v/>
          </cell>
          <cell r="AJ310" t="str">
            <v/>
          </cell>
          <cell r="AK310" t="str">
            <v/>
          </cell>
        </row>
        <row r="311">
          <cell r="A311">
            <v>1050500006</v>
          </cell>
          <cell r="B311" t="str">
            <v>假电池</v>
          </cell>
          <cell r="C311" t="str">
            <v/>
          </cell>
          <cell r="D311" t="str">
            <v>个</v>
          </cell>
          <cell r="E311" t="str">
            <v/>
          </cell>
          <cell r="F311" t="str">
            <v>6D Mark ||配套假电池/ACK-E6</v>
          </cell>
          <cell r="G311" t="str">
            <v>3DMakerpro</v>
          </cell>
          <cell r="H311" t="str">
            <v>三维扫描仪备品备件</v>
          </cell>
          <cell r="I311" t="str">
            <v>否</v>
          </cell>
          <cell r="J311" t="str">
            <v>否</v>
          </cell>
          <cell r="K311" t="str">
            <v>深圳积木易搭科技技术有限公司</v>
          </cell>
          <cell r="L311" t="str">
            <v/>
          </cell>
          <cell r="M311" t="str">
            <v>2024-04-12 09:36:30</v>
          </cell>
          <cell r="N311" t="str">
            <v>2024-04-12 09:36:30</v>
          </cell>
          <cell r="O311" t="str">
            <v>单涛</v>
          </cell>
          <cell r="P311" t="str">
            <v/>
          </cell>
          <cell r="Q311" t="str">
            <v/>
          </cell>
          <cell r="R311" t="str">
            <v>否</v>
          </cell>
          <cell r="S311" t="str">
            <v/>
          </cell>
          <cell r="T311" t="str">
            <v/>
          </cell>
          <cell r="U311" t="str">
            <v/>
          </cell>
          <cell r="V311" t="str">
            <v/>
          </cell>
          <cell r="W311" t="str">
            <v/>
          </cell>
          <cell r="X311" t="str">
            <v/>
          </cell>
          <cell r="Y311" t="str">
            <v>1050500006</v>
          </cell>
          <cell r="Z311" t="str">
            <v>-</v>
          </cell>
          <cell r="AA311" t="str">
            <v/>
          </cell>
          <cell r="AB311" t="str">
            <v/>
          </cell>
          <cell r="AC311" t="str">
            <v/>
          </cell>
          <cell r="AD311" t="str">
            <v/>
          </cell>
          <cell r="AE311" t="str">
            <v/>
          </cell>
          <cell r="AF311" t="str">
            <v/>
          </cell>
          <cell r="AG311" t="str">
            <v/>
          </cell>
          <cell r="AH311" t="str">
            <v/>
          </cell>
          <cell r="AI311" t="str">
            <v/>
          </cell>
          <cell r="AJ311" t="str">
            <v/>
          </cell>
          <cell r="AK311" t="str">
            <v/>
          </cell>
        </row>
        <row r="312">
          <cell r="A312">
            <v>1200200003</v>
          </cell>
          <cell r="B312" t="str">
            <v>PCBA</v>
          </cell>
          <cell r="C312" t="str">
            <v/>
          </cell>
          <cell r="D312" t="str">
            <v>个</v>
          </cell>
          <cell r="E312" t="str">
            <v/>
          </cell>
          <cell r="F312" t="str">
            <v>PCBA</v>
          </cell>
          <cell r="G312" t="str">
            <v/>
          </cell>
          <cell r="H312" t="str">
            <v>三维扫描仪备品备件</v>
          </cell>
          <cell r="I312" t="str">
            <v>否</v>
          </cell>
          <cell r="J312" t="str">
            <v>否</v>
          </cell>
          <cell r="K312" t="str">
            <v>深圳积木易搭科技技术有限公司</v>
          </cell>
          <cell r="L312" t="str">
            <v/>
          </cell>
          <cell r="M312" t="str">
            <v>2024-04-09 18:05:44</v>
          </cell>
          <cell r="N312" t="str">
            <v>2024-04-09 18:05:44</v>
          </cell>
          <cell r="O312" t="str">
            <v>单涛</v>
          </cell>
          <cell r="P312" t="str">
            <v/>
          </cell>
          <cell r="Q312" t="str">
            <v/>
          </cell>
          <cell r="R312" t="str">
            <v>否</v>
          </cell>
          <cell r="S312" t="str">
            <v/>
          </cell>
          <cell r="T312" t="str">
            <v/>
          </cell>
          <cell r="U312" t="str">
            <v/>
          </cell>
          <cell r="V312" t="str">
            <v/>
          </cell>
          <cell r="W312" t="str">
            <v/>
          </cell>
          <cell r="X312" t="str">
            <v/>
          </cell>
          <cell r="Y312" t="str">
            <v>1200200003</v>
          </cell>
          <cell r="Z312" t="str">
            <v>-</v>
          </cell>
          <cell r="AA312" t="str">
            <v/>
          </cell>
          <cell r="AB312" t="str">
            <v/>
          </cell>
          <cell r="AC312" t="str">
            <v/>
          </cell>
          <cell r="AD312" t="str">
            <v/>
          </cell>
          <cell r="AE312" t="str">
            <v/>
          </cell>
          <cell r="AF312" t="str">
            <v/>
          </cell>
          <cell r="AG312" t="str">
            <v/>
          </cell>
          <cell r="AH312" t="str">
            <v/>
          </cell>
          <cell r="AI312" t="str">
            <v/>
          </cell>
          <cell r="AJ312" t="str">
            <v/>
          </cell>
          <cell r="AK312" t="str">
            <v/>
          </cell>
        </row>
        <row r="313">
          <cell r="A313">
            <v>3010500009</v>
          </cell>
          <cell r="B313" t="str">
            <v>复合珠光膜气泡信封袋26*36cm/白色</v>
          </cell>
          <cell r="C313" t="str">
            <v/>
          </cell>
          <cell r="D313" t="str">
            <v>个</v>
          </cell>
          <cell r="E313" t="str">
            <v/>
          </cell>
          <cell r="F313" t="str">
            <v>复合珠光膜气泡信封袋26*36cm/白色</v>
          </cell>
          <cell r="G313" t="str">
            <v/>
          </cell>
          <cell r="H313" t="str">
            <v>其它物料</v>
          </cell>
          <cell r="I313" t="str">
            <v>否</v>
          </cell>
          <cell r="J313" t="str">
            <v>否</v>
          </cell>
          <cell r="K313" t="str">
            <v>深圳积木易搭科技技术有限公司</v>
          </cell>
          <cell r="L313" t="str">
            <v/>
          </cell>
          <cell r="M313" t="str">
            <v>2024-04-09 11:49:44</v>
          </cell>
          <cell r="N313" t="str">
            <v>2024-04-09 11:49:44</v>
          </cell>
          <cell r="O313" t="str">
            <v>单涛</v>
          </cell>
          <cell r="P313" t="str">
            <v/>
          </cell>
          <cell r="Q313" t="str">
            <v/>
          </cell>
          <cell r="R313" t="str">
            <v>否</v>
          </cell>
          <cell r="S313" t="str">
            <v/>
          </cell>
          <cell r="T313" t="str">
            <v/>
          </cell>
          <cell r="U313" t="str">
            <v/>
          </cell>
          <cell r="V313" t="str">
            <v/>
          </cell>
          <cell r="W313" t="str">
            <v/>
          </cell>
          <cell r="X313" t="str">
            <v/>
          </cell>
          <cell r="Y313" t="str">
            <v>3010500009</v>
          </cell>
          <cell r="Z313" t="str">
            <v>-</v>
          </cell>
          <cell r="AA313" t="str">
            <v/>
          </cell>
          <cell r="AB313" t="str">
            <v/>
          </cell>
          <cell r="AC313" t="str">
            <v/>
          </cell>
          <cell r="AD313" t="str">
            <v/>
          </cell>
          <cell r="AE313" t="str">
            <v/>
          </cell>
          <cell r="AF313" t="str">
            <v/>
          </cell>
          <cell r="AG313" t="str">
            <v/>
          </cell>
          <cell r="AH313" t="str">
            <v/>
          </cell>
          <cell r="AI313" t="str">
            <v/>
          </cell>
          <cell r="AJ313" t="str">
            <v/>
          </cell>
          <cell r="AK313" t="str">
            <v/>
          </cell>
        </row>
        <row r="314">
          <cell r="A314">
            <v>3010500008</v>
          </cell>
          <cell r="B314" t="str">
            <v>加大号快递打包袋55*65cm/白色</v>
          </cell>
          <cell r="C314" t="str">
            <v/>
          </cell>
          <cell r="D314" t="str">
            <v>个</v>
          </cell>
          <cell r="E314" t="str">
            <v/>
          </cell>
          <cell r="F314" t="str">
            <v>加大号快递打包袋55*65cm/白色</v>
          </cell>
          <cell r="G314" t="str">
            <v/>
          </cell>
          <cell r="H314" t="str">
            <v>其它物料</v>
          </cell>
          <cell r="I314" t="str">
            <v>否</v>
          </cell>
          <cell r="J314" t="str">
            <v>否</v>
          </cell>
          <cell r="K314" t="str">
            <v>深圳积木易搭科技技术有限公司</v>
          </cell>
          <cell r="L314" t="str">
            <v/>
          </cell>
          <cell r="M314" t="str">
            <v>2024-04-09 11:48:29</v>
          </cell>
          <cell r="N314" t="str">
            <v>2024-04-09 11:50:19</v>
          </cell>
          <cell r="O314" t="str">
            <v>单涛</v>
          </cell>
          <cell r="P314" t="str">
            <v>单涛</v>
          </cell>
          <cell r="Q314" t="str">
            <v/>
          </cell>
          <cell r="R314" t="str">
            <v>否</v>
          </cell>
          <cell r="S314" t="str">
            <v/>
          </cell>
          <cell r="T314" t="str">
            <v/>
          </cell>
          <cell r="U314" t="str">
            <v/>
          </cell>
          <cell r="V314" t="str">
            <v/>
          </cell>
          <cell r="W314" t="str">
            <v/>
          </cell>
          <cell r="X314" t="str">
            <v/>
          </cell>
          <cell r="Y314" t="str">
            <v>3010500008</v>
          </cell>
          <cell r="Z314" t="str">
            <v>-</v>
          </cell>
          <cell r="AA314" t="str">
            <v/>
          </cell>
          <cell r="AB314" t="str">
            <v/>
          </cell>
          <cell r="AC314" t="str">
            <v/>
          </cell>
          <cell r="AD314" t="str">
            <v/>
          </cell>
          <cell r="AE314" t="str">
            <v/>
          </cell>
          <cell r="AF314" t="str">
            <v/>
          </cell>
          <cell r="AG314" t="str">
            <v/>
          </cell>
          <cell r="AH314" t="str">
            <v/>
          </cell>
          <cell r="AI314" t="str">
            <v/>
          </cell>
          <cell r="AJ314" t="str">
            <v/>
          </cell>
          <cell r="AK314" t="str">
            <v/>
          </cell>
        </row>
        <row r="315">
          <cell r="A315">
            <v>1080500077</v>
          </cell>
          <cell r="B315" t="str">
            <v>JMA1包装内衬2</v>
          </cell>
          <cell r="C315" t="str">
            <v/>
          </cell>
          <cell r="D315" t="str">
            <v>个</v>
          </cell>
          <cell r="E315" t="str">
            <v/>
          </cell>
          <cell r="F315" t="str">
            <v>JMA1包装内衬2</v>
          </cell>
          <cell r="G315" t="str">
            <v/>
          </cell>
          <cell r="H315" t="str">
            <v>其它物料</v>
          </cell>
          <cell r="I315" t="str">
            <v>否</v>
          </cell>
          <cell r="J315" t="str">
            <v>否</v>
          </cell>
          <cell r="K315" t="str">
            <v>深圳积木易搭科技技术有限公司</v>
          </cell>
          <cell r="L315" t="str">
            <v/>
          </cell>
          <cell r="M315" t="str">
            <v>2024-04-02 16:36:41</v>
          </cell>
          <cell r="N315" t="str">
            <v>2024-04-02 16:36:41</v>
          </cell>
          <cell r="O315" t="str">
            <v>单涛</v>
          </cell>
          <cell r="P315" t="str">
            <v/>
          </cell>
          <cell r="Q315" t="str">
            <v/>
          </cell>
          <cell r="R315" t="str">
            <v>否</v>
          </cell>
          <cell r="S315" t="str">
            <v/>
          </cell>
          <cell r="T315" t="str">
            <v/>
          </cell>
          <cell r="U315" t="str">
            <v/>
          </cell>
          <cell r="V315" t="str">
            <v/>
          </cell>
          <cell r="W315" t="str">
            <v/>
          </cell>
          <cell r="X315" t="str">
            <v/>
          </cell>
          <cell r="Y315" t="str">
            <v>1080500077</v>
          </cell>
          <cell r="Z315" t="str">
            <v>-</v>
          </cell>
          <cell r="AA315" t="str">
            <v/>
          </cell>
          <cell r="AB315" t="str">
            <v/>
          </cell>
          <cell r="AC315" t="str">
            <v/>
          </cell>
          <cell r="AD315" t="str">
            <v/>
          </cell>
          <cell r="AE315" t="str">
            <v/>
          </cell>
          <cell r="AF315" t="str">
            <v/>
          </cell>
          <cell r="AG315" t="str">
            <v/>
          </cell>
          <cell r="AH315" t="str">
            <v/>
          </cell>
          <cell r="AI315" t="str">
            <v/>
          </cell>
          <cell r="AJ315" t="str">
            <v/>
          </cell>
          <cell r="AK315" t="str">
            <v/>
          </cell>
        </row>
        <row r="316">
          <cell r="A316">
            <v>1080400051</v>
          </cell>
          <cell r="B316" t="str">
            <v>JME1包装盒</v>
          </cell>
          <cell r="C316" t="str">
            <v/>
          </cell>
          <cell r="D316" t="str">
            <v>个</v>
          </cell>
          <cell r="E316" t="str">
            <v/>
          </cell>
          <cell r="F316" t="str">
            <v>JME1包装盒</v>
          </cell>
          <cell r="G316" t="str">
            <v>3DMakerpro</v>
          </cell>
          <cell r="H316" t="str">
            <v>其它物料</v>
          </cell>
          <cell r="I316" t="str">
            <v>否</v>
          </cell>
          <cell r="J316" t="str">
            <v>否</v>
          </cell>
          <cell r="K316" t="str">
            <v>深圳积木易搭科技技术有限公司</v>
          </cell>
          <cell r="L316" t="str">
            <v/>
          </cell>
          <cell r="M316" t="str">
            <v>2024-04-02 16:35:36</v>
          </cell>
          <cell r="N316" t="str">
            <v>2024-04-02 16:35:36</v>
          </cell>
          <cell r="O316" t="str">
            <v>单涛</v>
          </cell>
          <cell r="P316" t="str">
            <v/>
          </cell>
          <cell r="Q316" t="str">
            <v/>
          </cell>
          <cell r="R316" t="str">
            <v>否</v>
          </cell>
          <cell r="S316" t="str">
            <v/>
          </cell>
          <cell r="T316" t="str">
            <v/>
          </cell>
          <cell r="U316" t="str">
            <v/>
          </cell>
          <cell r="V316" t="str">
            <v/>
          </cell>
          <cell r="W316" t="str">
            <v/>
          </cell>
          <cell r="X316" t="str">
            <v/>
          </cell>
          <cell r="Y316" t="str">
            <v>1080400051</v>
          </cell>
          <cell r="Z316" t="str">
            <v>-</v>
          </cell>
          <cell r="AA316" t="str">
            <v/>
          </cell>
          <cell r="AB316" t="str">
            <v/>
          </cell>
          <cell r="AC316" t="str">
            <v/>
          </cell>
          <cell r="AD316" t="str">
            <v/>
          </cell>
          <cell r="AE316" t="str">
            <v/>
          </cell>
          <cell r="AF316" t="str">
            <v/>
          </cell>
          <cell r="AG316" t="str">
            <v/>
          </cell>
          <cell r="AH316" t="str">
            <v/>
          </cell>
          <cell r="AI316" t="str">
            <v/>
          </cell>
          <cell r="AJ316" t="str">
            <v/>
          </cell>
          <cell r="AK316" t="str">
            <v/>
          </cell>
        </row>
        <row r="317">
          <cell r="A317">
            <v>1080500076</v>
          </cell>
          <cell r="B317" t="str">
            <v>JMA1包装内衬1</v>
          </cell>
          <cell r="C317" t="str">
            <v/>
          </cell>
          <cell r="D317" t="str">
            <v>个</v>
          </cell>
          <cell r="E317" t="str">
            <v/>
          </cell>
          <cell r="F317" t="str">
            <v>JMA1包装内衬1</v>
          </cell>
          <cell r="G317" t="str">
            <v/>
          </cell>
          <cell r="H317" t="str">
            <v>其它物料</v>
          </cell>
          <cell r="I317" t="str">
            <v>否</v>
          </cell>
          <cell r="J317" t="str">
            <v>否</v>
          </cell>
          <cell r="K317" t="str">
            <v>深圳积木易搭科技技术有限公司</v>
          </cell>
          <cell r="L317" t="str">
            <v/>
          </cell>
          <cell r="M317" t="str">
            <v>2024-04-02 16:34:39</v>
          </cell>
          <cell r="N317" t="str">
            <v>2024-04-02 16:34:39</v>
          </cell>
          <cell r="O317" t="str">
            <v>单涛</v>
          </cell>
          <cell r="P317" t="str">
            <v/>
          </cell>
          <cell r="Q317" t="str">
            <v/>
          </cell>
          <cell r="R317" t="str">
            <v>否</v>
          </cell>
          <cell r="S317" t="str">
            <v/>
          </cell>
          <cell r="T317" t="str">
            <v/>
          </cell>
          <cell r="U317" t="str">
            <v/>
          </cell>
          <cell r="V317" t="str">
            <v/>
          </cell>
          <cell r="W317" t="str">
            <v/>
          </cell>
          <cell r="X317" t="str">
            <v/>
          </cell>
          <cell r="Y317" t="str">
            <v>1080500076</v>
          </cell>
          <cell r="Z317" t="str">
            <v>-</v>
          </cell>
          <cell r="AA317" t="str">
            <v/>
          </cell>
          <cell r="AB317" t="str">
            <v/>
          </cell>
          <cell r="AC317" t="str">
            <v/>
          </cell>
          <cell r="AD317" t="str">
            <v/>
          </cell>
          <cell r="AE317" t="str">
            <v/>
          </cell>
          <cell r="AF317" t="str">
            <v/>
          </cell>
          <cell r="AG317" t="str">
            <v/>
          </cell>
          <cell r="AH317" t="str">
            <v/>
          </cell>
          <cell r="AI317" t="str">
            <v/>
          </cell>
          <cell r="AJ317" t="str">
            <v/>
          </cell>
          <cell r="AK317" t="str">
            <v/>
          </cell>
        </row>
        <row r="318">
          <cell r="A318">
            <v>1200100089</v>
          </cell>
          <cell r="B318" t="str">
            <v>耳样扫描仪JME2主机</v>
          </cell>
          <cell r="C318" t="str">
            <v/>
          </cell>
          <cell r="D318" t="str">
            <v>台</v>
          </cell>
          <cell r="E318" t="str">
            <v/>
          </cell>
          <cell r="F318" t="str">
            <v>耳样扫描仪JME2主机</v>
          </cell>
          <cell r="G318" t="str">
            <v>3DMakerpro</v>
          </cell>
          <cell r="H318" t="str">
            <v>三维扫描仪备品备件</v>
          </cell>
          <cell r="I318" t="str">
            <v>否</v>
          </cell>
          <cell r="J318" t="str">
            <v>否</v>
          </cell>
          <cell r="K318" t="str">
            <v>深圳积木易搭科技技术有限公司</v>
          </cell>
          <cell r="L318" t="str">
            <v/>
          </cell>
          <cell r="M318" t="str">
            <v>2024-04-02 16:33:41</v>
          </cell>
          <cell r="N318" t="str">
            <v>2024-04-02 16:33:41</v>
          </cell>
          <cell r="O318" t="str">
            <v>单涛</v>
          </cell>
          <cell r="P318" t="str">
            <v/>
          </cell>
          <cell r="Q318" t="str">
            <v/>
          </cell>
          <cell r="R318" t="str">
            <v>否</v>
          </cell>
          <cell r="S318" t="str">
            <v/>
          </cell>
          <cell r="T318" t="str">
            <v/>
          </cell>
          <cell r="U318" t="str">
            <v/>
          </cell>
          <cell r="V318" t="str">
            <v/>
          </cell>
          <cell r="W318" t="str">
            <v/>
          </cell>
          <cell r="X318" t="str">
            <v/>
          </cell>
          <cell r="Y318" t="str">
            <v>1200100089</v>
          </cell>
          <cell r="Z318" t="str">
            <v>JME2</v>
          </cell>
          <cell r="AA318" t="str">
            <v>9031499090</v>
          </cell>
          <cell r="AB318" t="str">
            <v/>
          </cell>
          <cell r="AC318" t="str">
            <v/>
          </cell>
          <cell r="AD318" t="str">
            <v/>
          </cell>
          <cell r="AE318" t="str">
            <v/>
          </cell>
          <cell r="AF318" t="str">
            <v/>
          </cell>
          <cell r="AG318" t="str">
            <v/>
          </cell>
          <cell r="AH318" t="str">
            <v/>
          </cell>
          <cell r="AI318" t="str">
            <v/>
          </cell>
          <cell r="AJ318" t="str">
            <v/>
          </cell>
          <cell r="AK318" t="str">
            <v/>
          </cell>
        </row>
        <row r="319">
          <cell r="A319">
            <v>1040100005</v>
          </cell>
          <cell r="B319" t="str">
            <v>电动转台</v>
          </cell>
          <cell r="C319" t="str">
            <v/>
          </cell>
          <cell r="D319" t="str">
            <v>台</v>
          </cell>
          <cell r="E319" t="str">
            <v/>
          </cell>
          <cell r="F319" t="str">
            <v>深圳康信技术（Comxim）/MT320RUPSL40P/32CM手机无线快门+USB+单反快门线/黑色</v>
          </cell>
          <cell r="G319" t="str">
            <v/>
          </cell>
          <cell r="H319" t="str">
            <v>三维扫描仪备品备件</v>
          </cell>
          <cell r="I319" t="str">
            <v>否</v>
          </cell>
          <cell r="J319" t="str">
            <v>否</v>
          </cell>
          <cell r="K319" t="str">
            <v>深圳积木易搭科技技术有限公司</v>
          </cell>
          <cell r="L319" t="str">
            <v/>
          </cell>
          <cell r="M319" t="str">
            <v>2024-04-01 15:47:20</v>
          </cell>
          <cell r="N319" t="str">
            <v>2024-04-01 15:47:20</v>
          </cell>
          <cell r="O319" t="str">
            <v>单涛</v>
          </cell>
          <cell r="P319" t="str">
            <v/>
          </cell>
          <cell r="Q319" t="str">
            <v/>
          </cell>
          <cell r="R319" t="str">
            <v>否</v>
          </cell>
          <cell r="S319" t="str">
            <v/>
          </cell>
          <cell r="T319" t="str">
            <v/>
          </cell>
          <cell r="U319" t="str">
            <v/>
          </cell>
          <cell r="V319" t="str">
            <v/>
          </cell>
          <cell r="W319" t="str">
            <v/>
          </cell>
          <cell r="X319" t="str">
            <v/>
          </cell>
          <cell r="Y319" t="str">
            <v>1040100005</v>
          </cell>
          <cell r="Z319" t="str">
            <v>-</v>
          </cell>
          <cell r="AA319" t="str">
            <v/>
          </cell>
          <cell r="AB319" t="str">
            <v/>
          </cell>
          <cell r="AC319" t="str">
            <v/>
          </cell>
          <cell r="AD319" t="str">
            <v/>
          </cell>
          <cell r="AE319" t="str">
            <v/>
          </cell>
          <cell r="AF319" t="str">
            <v/>
          </cell>
          <cell r="AG319" t="str">
            <v/>
          </cell>
          <cell r="AH319" t="str">
            <v/>
          </cell>
          <cell r="AI319" t="str">
            <v/>
          </cell>
          <cell r="AJ319" t="str">
            <v/>
          </cell>
          <cell r="AK319" t="str">
            <v/>
          </cell>
        </row>
        <row r="320">
          <cell r="A320">
            <v>3010500006</v>
          </cell>
          <cell r="B320" t="str">
            <v>大号快递打包袋50*70cm/白色</v>
          </cell>
          <cell r="C320" t="str">
            <v/>
          </cell>
          <cell r="D320" t="str">
            <v>个</v>
          </cell>
          <cell r="E320" t="str">
            <v/>
          </cell>
          <cell r="F320" t="str">
            <v>大号快递打包袋50*70cm/白色</v>
          </cell>
          <cell r="G320" t="str">
            <v/>
          </cell>
          <cell r="H320" t="str">
            <v>其它物料</v>
          </cell>
          <cell r="I320" t="str">
            <v>否</v>
          </cell>
          <cell r="J320" t="str">
            <v>否</v>
          </cell>
          <cell r="K320" t="str">
            <v>深圳积木易搭科技技术有限公司</v>
          </cell>
          <cell r="L320" t="str">
            <v/>
          </cell>
          <cell r="M320" t="str">
            <v>2024-03-29 17:06:30</v>
          </cell>
          <cell r="N320" t="str">
            <v>2024-03-29 17:06:30</v>
          </cell>
          <cell r="O320" t="str">
            <v>单涛</v>
          </cell>
          <cell r="P320" t="str">
            <v/>
          </cell>
          <cell r="Q320" t="str">
            <v/>
          </cell>
          <cell r="R320" t="str">
            <v>否</v>
          </cell>
          <cell r="S320" t="str">
            <v/>
          </cell>
          <cell r="T320" t="str">
            <v/>
          </cell>
          <cell r="U320" t="str">
            <v/>
          </cell>
          <cell r="V320" t="str">
            <v/>
          </cell>
          <cell r="W320" t="str">
            <v/>
          </cell>
          <cell r="X320" t="str">
            <v/>
          </cell>
          <cell r="Y320" t="str">
            <v>3010500006</v>
          </cell>
          <cell r="Z320" t="str">
            <v>-</v>
          </cell>
          <cell r="AA320" t="str">
            <v/>
          </cell>
          <cell r="AB320" t="str">
            <v/>
          </cell>
          <cell r="AC320" t="str">
            <v/>
          </cell>
          <cell r="AD320" t="str">
            <v/>
          </cell>
          <cell r="AE320" t="str">
            <v/>
          </cell>
          <cell r="AF320" t="str">
            <v/>
          </cell>
          <cell r="AG320" t="str">
            <v/>
          </cell>
          <cell r="AH320" t="str">
            <v/>
          </cell>
          <cell r="AI320" t="str">
            <v/>
          </cell>
          <cell r="AJ320" t="str">
            <v/>
          </cell>
          <cell r="AK320" t="str">
            <v/>
          </cell>
        </row>
        <row r="321">
          <cell r="A321">
            <v>3010500005</v>
          </cell>
          <cell r="B321" t="str">
            <v>小号快递打包袋20*30cm/白色</v>
          </cell>
          <cell r="C321" t="str">
            <v/>
          </cell>
          <cell r="D321" t="str">
            <v>个</v>
          </cell>
          <cell r="E321" t="str">
            <v/>
          </cell>
          <cell r="F321" t="str">
            <v>小号快递打包袋20*30cm/白色</v>
          </cell>
          <cell r="G321" t="str">
            <v/>
          </cell>
          <cell r="H321" t="str">
            <v>其它物料</v>
          </cell>
          <cell r="I321" t="str">
            <v>否</v>
          </cell>
          <cell r="J321" t="str">
            <v>否</v>
          </cell>
          <cell r="K321" t="str">
            <v>深圳积木易搭科技技术有限公司</v>
          </cell>
          <cell r="L321" t="str">
            <v/>
          </cell>
          <cell r="M321" t="str">
            <v>2024-03-29 17:05:16</v>
          </cell>
          <cell r="N321" t="str">
            <v>2024-03-29 17:05:34</v>
          </cell>
          <cell r="O321" t="str">
            <v>单涛</v>
          </cell>
          <cell r="P321" t="str">
            <v>单涛</v>
          </cell>
          <cell r="Q321" t="str">
            <v/>
          </cell>
          <cell r="R321" t="str">
            <v>否</v>
          </cell>
          <cell r="S321" t="str">
            <v/>
          </cell>
          <cell r="T321" t="str">
            <v/>
          </cell>
          <cell r="U321" t="str">
            <v/>
          </cell>
          <cell r="V321" t="str">
            <v/>
          </cell>
          <cell r="W321" t="str">
            <v/>
          </cell>
          <cell r="X321" t="str">
            <v/>
          </cell>
          <cell r="Y321" t="str">
            <v>3010500005</v>
          </cell>
          <cell r="Z321" t="str">
            <v>-</v>
          </cell>
          <cell r="AA321" t="str">
            <v/>
          </cell>
          <cell r="AB321" t="str">
            <v/>
          </cell>
          <cell r="AC321" t="str">
            <v/>
          </cell>
          <cell r="AD321" t="str">
            <v/>
          </cell>
          <cell r="AE321" t="str">
            <v/>
          </cell>
          <cell r="AF321" t="str">
            <v/>
          </cell>
          <cell r="AG321" t="str">
            <v/>
          </cell>
          <cell r="AH321" t="str">
            <v/>
          </cell>
          <cell r="AI321" t="str">
            <v/>
          </cell>
          <cell r="AJ321" t="str">
            <v/>
          </cell>
          <cell r="AK321" t="str">
            <v/>
          </cell>
        </row>
        <row r="322">
          <cell r="A322">
            <v>3010500003</v>
          </cell>
          <cell r="B322" t="str">
            <v>三防热敏快递标签打印纸10*15cm</v>
          </cell>
          <cell r="C322" t="str">
            <v/>
          </cell>
          <cell r="D322" t="str">
            <v>卷</v>
          </cell>
          <cell r="E322" t="str">
            <v/>
          </cell>
          <cell r="F322" t="str">
            <v>三防热敏快递标签打印纸10*15cm</v>
          </cell>
          <cell r="G322" t="str">
            <v/>
          </cell>
          <cell r="H322" t="str">
            <v>其它物料</v>
          </cell>
          <cell r="I322" t="str">
            <v>否</v>
          </cell>
          <cell r="J322" t="str">
            <v>否</v>
          </cell>
          <cell r="K322" t="str">
            <v>深圳积木易搭科技技术有限公司</v>
          </cell>
          <cell r="L322" t="str">
            <v/>
          </cell>
          <cell r="M322" t="str">
            <v>2024-03-29 17:02:41</v>
          </cell>
          <cell r="N322" t="str">
            <v>2024-03-29 17:02:41</v>
          </cell>
          <cell r="O322" t="str">
            <v>单涛</v>
          </cell>
          <cell r="P322" t="str">
            <v/>
          </cell>
          <cell r="Q322" t="str">
            <v/>
          </cell>
          <cell r="R322" t="str">
            <v>否</v>
          </cell>
          <cell r="S322" t="str">
            <v/>
          </cell>
          <cell r="T322" t="str">
            <v/>
          </cell>
          <cell r="U322" t="str">
            <v/>
          </cell>
          <cell r="V322" t="str">
            <v/>
          </cell>
          <cell r="W322" t="str">
            <v/>
          </cell>
          <cell r="X322" t="str">
            <v/>
          </cell>
          <cell r="Y322" t="str">
            <v>3010500003</v>
          </cell>
          <cell r="Z322" t="str">
            <v>-</v>
          </cell>
          <cell r="AA322" t="str">
            <v/>
          </cell>
          <cell r="AB322" t="str">
            <v/>
          </cell>
          <cell r="AC322" t="str">
            <v/>
          </cell>
          <cell r="AD322" t="str">
            <v/>
          </cell>
          <cell r="AE322" t="str">
            <v/>
          </cell>
          <cell r="AF322" t="str">
            <v/>
          </cell>
          <cell r="AG322" t="str">
            <v/>
          </cell>
          <cell r="AH322" t="str">
            <v/>
          </cell>
          <cell r="AI322" t="str">
            <v/>
          </cell>
          <cell r="AJ322" t="str">
            <v/>
          </cell>
          <cell r="AK322" t="str">
            <v/>
          </cell>
        </row>
        <row r="323">
          <cell r="A323">
            <v>3010500002</v>
          </cell>
          <cell r="B323" t="str">
            <v>复合珠光膜气泡信封袋35*45cm/白色</v>
          </cell>
          <cell r="C323" t="str">
            <v/>
          </cell>
          <cell r="D323" t="str">
            <v>个</v>
          </cell>
          <cell r="E323" t="str">
            <v/>
          </cell>
          <cell r="F323" t="str">
            <v>复合珠光膜气泡信封袋35*45cm/白色</v>
          </cell>
          <cell r="G323" t="str">
            <v/>
          </cell>
          <cell r="H323" t="str">
            <v>其它物料</v>
          </cell>
          <cell r="I323" t="str">
            <v>否</v>
          </cell>
          <cell r="J323" t="str">
            <v>否</v>
          </cell>
          <cell r="K323" t="str">
            <v>深圳积木易搭科技技术有限公司</v>
          </cell>
          <cell r="L323" t="str">
            <v/>
          </cell>
          <cell r="M323" t="str">
            <v>2024-03-29 17:01:40</v>
          </cell>
          <cell r="N323" t="str">
            <v>2024-03-29 17:03:16</v>
          </cell>
          <cell r="O323" t="str">
            <v>单涛</v>
          </cell>
          <cell r="P323" t="str">
            <v>单涛</v>
          </cell>
          <cell r="Q323" t="str">
            <v/>
          </cell>
          <cell r="R323" t="str">
            <v>否</v>
          </cell>
          <cell r="S323" t="str">
            <v/>
          </cell>
          <cell r="T323" t="str">
            <v/>
          </cell>
          <cell r="U323" t="str">
            <v/>
          </cell>
          <cell r="V323" t="str">
            <v/>
          </cell>
          <cell r="W323" t="str">
            <v/>
          </cell>
          <cell r="X323" t="str">
            <v/>
          </cell>
          <cell r="Y323" t="str">
            <v>3010500002</v>
          </cell>
          <cell r="Z323" t="str">
            <v>-</v>
          </cell>
          <cell r="AA323" t="str">
            <v/>
          </cell>
          <cell r="AB323" t="str">
            <v/>
          </cell>
          <cell r="AC323" t="str">
            <v/>
          </cell>
          <cell r="AD323" t="str">
            <v/>
          </cell>
          <cell r="AE323" t="str">
            <v/>
          </cell>
          <cell r="AF323" t="str">
            <v/>
          </cell>
          <cell r="AG323" t="str">
            <v/>
          </cell>
          <cell r="AH323" t="str">
            <v/>
          </cell>
          <cell r="AI323" t="str">
            <v/>
          </cell>
          <cell r="AJ323" t="str">
            <v/>
          </cell>
          <cell r="AK323" t="str">
            <v/>
          </cell>
        </row>
        <row r="324">
          <cell r="A324">
            <v>3010500001</v>
          </cell>
          <cell r="B324" t="str">
            <v>中号快递打包袋35*45cm/白色</v>
          </cell>
          <cell r="C324" t="str">
            <v/>
          </cell>
          <cell r="D324" t="str">
            <v>个</v>
          </cell>
          <cell r="E324" t="str">
            <v/>
          </cell>
          <cell r="F324" t="str">
            <v>中号快递打包袋35*45cm/白色</v>
          </cell>
          <cell r="G324" t="str">
            <v/>
          </cell>
          <cell r="H324" t="str">
            <v>其它物料</v>
          </cell>
          <cell r="I324" t="str">
            <v>否</v>
          </cell>
          <cell r="J324" t="str">
            <v>否</v>
          </cell>
          <cell r="K324" t="str">
            <v>深圳积木易搭科技技术有限公司</v>
          </cell>
          <cell r="L324" t="str">
            <v/>
          </cell>
          <cell r="M324" t="str">
            <v>2024-03-29 16:59:35</v>
          </cell>
          <cell r="N324" t="str">
            <v>2024-03-29 17:04:27</v>
          </cell>
          <cell r="O324" t="str">
            <v>单涛</v>
          </cell>
          <cell r="P324" t="str">
            <v>单涛</v>
          </cell>
          <cell r="Q324" t="str">
            <v/>
          </cell>
          <cell r="R324" t="str">
            <v>否</v>
          </cell>
          <cell r="S324" t="str">
            <v/>
          </cell>
          <cell r="T324" t="str">
            <v/>
          </cell>
          <cell r="U324" t="str">
            <v/>
          </cell>
          <cell r="V324" t="str">
            <v/>
          </cell>
          <cell r="W324" t="str">
            <v/>
          </cell>
          <cell r="X324" t="str">
            <v/>
          </cell>
          <cell r="Y324" t="str">
            <v>3010500001</v>
          </cell>
          <cell r="Z324" t="str">
            <v>-</v>
          </cell>
          <cell r="AA324" t="str">
            <v/>
          </cell>
          <cell r="AB324" t="str">
            <v/>
          </cell>
          <cell r="AC324" t="str">
            <v/>
          </cell>
          <cell r="AD324" t="str">
            <v/>
          </cell>
          <cell r="AE324" t="str">
            <v/>
          </cell>
          <cell r="AF324" t="str">
            <v/>
          </cell>
          <cell r="AG324" t="str">
            <v/>
          </cell>
          <cell r="AH324" t="str">
            <v/>
          </cell>
          <cell r="AI324" t="str">
            <v/>
          </cell>
          <cell r="AJ324" t="str">
            <v/>
          </cell>
          <cell r="AK324" t="str">
            <v/>
          </cell>
        </row>
        <row r="325">
          <cell r="A325">
            <v>1080100007</v>
          </cell>
          <cell r="B325" t="str">
            <v>主机包装彩盒</v>
          </cell>
          <cell r="C325" t="str">
            <v/>
          </cell>
          <cell r="D325" t="str">
            <v>个</v>
          </cell>
          <cell r="E325" t="str">
            <v/>
          </cell>
          <cell r="F325" t="str">
            <v>主机包装彩盒</v>
          </cell>
          <cell r="G325" t="str">
            <v/>
          </cell>
          <cell r="H325" t="str">
            <v>其它物料</v>
          </cell>
          <cell r="I325" t="str">
            <v>否</v>
          </cell>
          <cell r="J325" t="str">
            <v>否</v>
          </cell>
          <cell r="K325" t="str">
            <v>深圳积木易搭科技技术有限公司</v>
          </cell>
          <cell r="L325" t="str">
            <v/>
          </cell>
          <cell r="M325" t="str">
            <v>2024-03-29 16:25:37</v>
          </cell>
          <cell r="N325" t="str">
            <v>2024-03-29 16:25:37</v>
          </cell>
          <cell r="O325" t="str">
            <v>单涛</v>
          </cell>
          <cell r="P325" t="str">
            <v/>
          </cell>
          <cell r="Q325" t="str">
            <v/>
          </cell>
          <cell r="R325" t="str">
            <v>否</v>
          </cell>
          <cell r="S325" t="str">
            <v/>
          </cell>
          <cell r="T325" t="str">
            <v/>
          </cell>
          <cell r="U325" t="str">
            <v/>
          </cell>
          <cell r="V325" t="str">
            <v/>
          </cell>
          <cell r="W325" t="str">
            <v/>
          </cell>
          <cell r="X325" t="str">
            <v/>
          </cell>
          <cell r="Y325" t="str">
            <v>1080100007</v>
          </cell>
          <cell r="Z325" t="str">
            <v>-</v>
          </cell>
          <cell r="AA325" t="str">
            <v/>
          </cell>
          <cell r="AB325" t="str">
            <v/>
          </cell>
          <cell r="AC325" t="str">
            <v/>
          </cell>
          <cell r="AD325" t="str">
            <v/>
          </cell>
          <cell r="AE325" t="str">
            <v/>
          </cell>
          <cell r="AF325" t="str">
            <v/>
          </cell>
          <cell r="AG325" t="str">
            <v/>
          </cell>
          <cell r="AH325" t="str">
            <v/>
          </cell>
          <cell r="AI325" t="str">
            <v/>
          </cell>
          <cell r="AJ325" t="str">
            <v/>
          </cell>
          <cell r="AK325" t="str">
            <v/>
          </cell>
        </row>
        <row r="326">
          <cell r="A326">
            <v>1200100001</v>
          </cell>
          <cell r="B326" t="str">
            <v>CR-Scan 01整机</v>
          </cell>
          <cell r="C326" t="str">
            <v>CR-Scan 01 Creality 3D Scanner</v>
          </cell>
          <cell r="D326" t="str">
            <v>台</v>
          </cell>
          <cell r="E326" t="str">
            <v/>
          </cell>
          <cell r="F326" t="str">
            <v>CR-Scan 01整机</v>
          </cell>
          <cell r="G326" t="str">
            <v>Creality</v>
          </cell>
          <cell r="H326" t="str">
            <v>三维扫描仪备品备件</v>
          </cell>
          <cell r="I326" t="str">
            <v>否</v>
          </cell>
          <cell r="J326" t="str">
            <v>否</v>
          </cell>
          <cell r="K326" t="str">
            <v>深圳积木易搭科技技术有限公司</v>
          </cell>
          <cell r="L326" t="str">
            <v/>
          </cell>
          <cell r="M326" t="str">
            <v>2024-03-29 16:23:13</v>
          </cell>
          <cell r="N326" t="str">
            <v>2024-03-29 16:23:13</v>
          </cell>
          <cell r="O326" t="str">
            <v>单涛</v>
          </cell>
          <cell r="P326" t="str">
            <v/>
          </cell>
          <cell r="Q326" t="str">
            <v/>
          </cell>
          <cell r="R326" t="str">
            <v>否</v>
          </cell>
          <cell r="S326" t="str">
            <v/>
          </cell>
          <cell r="T326" t="str">
            <v/>
          </cell>
          <cell r="U326" t="str">
            <v/>
          </cell>
          <cell r="V326" t="str">
            <v/>
          </cell>
          <cell r="W326" t="str">
            <v/>
          </cell>
          <cell r="X326" t="str">
            <v/>
          </cell>
          <cell r="Y326" t="str">
            <v>1200100001</v>
          </cell>
          <cell r="Z326" t="str">
            <v>CRS1</v>
          </cell>
          <cell r="AA326" t="str">
            <v/>
          </cell>
          <cell r="AB326" t="str">
            <v/>
          </cell>
          <cell r="AC326" t="str">
            <v/>
          </cell>
          <cell r="AD326" t="str">
            <v/>
          </cell>
          <cell r="AE326" t="str">
            <v/>
          </cell>
          <cell r="AF326" t="str">
            <v/>
          </cell>
          <cell r="AG326" t="str">
            <v/>
          </cell>
          <cell r="AH326" t="str">
            <v/>
          </cell>
          <cell r="AI326" t="str">
            <v/>
          </cell>
          <cell r="AJ326" t="str">
            <v/>
          </cell>
          <cell r="AK326" t="str">
            <v/>
          </cell>
        </row>
        <row r="327">
          <cell r="A327">
            <v>4010100026</v>
          </cell>
          <cell r="B327" t="str">
            <v>Wrap for 3DMakerpro-Lite</v>
          </cell>
          <cell r="C327" t="str">
            <v>Wrap for 3DMakerpro-Lite</v>
          </cell>
          <cell r="D327" t="str">
            <v>套</v>
          </cell>
          <cell r="E327" t="str">
            <v/>
          </cell>
          <cell r="F327" t="str">
            <v>Wrap for 3DMakerpro-Lite</v>
          </cell>
          <cell r="G327" t="str">
            <v>3DMakerpro</v>
          </cell>
          <cell r="H327" t="str">
            <v>软件</v>
          </cell>
          <cell r="I327" t="str">
            <v>否</v>
          </cell>
          <cell r="J327" t="str">
            <v>否</v>
          </cell>
          <cell r="K327" t="str">
            <v>深圳积木易搭科技技术有限公司</v>
          </cell>
          <cell r="L327" t="str">
            <v/>
          </cell>
          <cell r="M327" t="str">
            <v>2024-03-29 14:20:42</v>
          </cell>
          <cell r="N327" t="str">
            <v>2024-03-29 14:20:42</v>
          </cell>
          <cell r="O327" t="str">
            <v>单涛</v>
          </cell>
          <cell r="P327" t="str">
            <v/>
          </cell>
          <cell r="Q327" t="str">
            <v/>
          </cell>
          <cell r="R327" t="str">
            <v>否</v>
          </cell>
          <cell r="S327" t="str">
            <v/>
          </cell>
          <cell r="T327" t="str">
            <v/>
          </cell>
          <cell r="U327" t="str">
            <v/>
          </cell>
          <cell r="V327" t="str">
            <v/>
          </cell>
          <cell r="W327" t="str">
            <v/>
          </cell>
          <cell r="X327" t="str">
            <v/>
          </cell>
          <cell r="Y327" t="str">
            <v>4010100026</v>
          </cell>
          <cell r="Z327" t="str">
            <v>-</v>
          </cell>
          <cell r="AA327" t="str">
            <v/>
          </cell>
          <cell r="AB327" t="str">
            <v/>
          </cell>
          <cell r="AC327" t="str">
            <v/>
          </cell>
          <cell r="AD327" t="str">
            <v/>
          </cell>
          <cell r="AE327" t="str">
            <v/>
          </cell>
          <cell r="AF327" t="str">
            <v/>
          </cell>
          <cell r="AG327" t="str">
            <v/>
          </cell>
          <cell r="AH327" t="str">
            <v/>
          </cell>
          <cell r="AI327" t="str">
            <v/>
          </cell>
          <cell r="AJ327" t="str">
            <v/>
          </cell>
          <cell r="AK327" t="str">
            <v/>
          </cell>
        </row>
        <row r="328">
          <cell r="A328">
            <v>4010100025</v>
          </cell>
          <cell r="B328" t="str">
            <v>Wrap for 3DMakerpro-Essentials</v>
          </cell>
          <cell r="C328" t="str">
            <v>Wrap for 3DMakerpro-Essentials</v>
          </cell>
          <cell r="D328" t="str">
            <v>套</v>
          </cell>
          <cell r="E328" t="str">
            <v/>
          </cell>
          <cell r="F328" t="str">
            <v>Wrap for 3DMakerpro-Essentials</v>
          </cell>
          <cell r="G328" t="str">
            <v>3DMakerpro</v>
          </cell>
          <cell r="H328" t="str">
            <v>软件</v>
          </cell>
          <cell r="I328" t="str">
            <v>否</v>
          </cell>
          <cell r="J328" t="str">
            <v>否</v>
          </cell>
          <cell r="K328" t="str">
            <v>深圳积木易搭科技技术有限公司</v>
          </cell>
          <cell r="L328" t="str">
            <v/>
          </cell>
          <cell r="M328" t="str">
            <v>2024-03-29 14:18:34</v>
          </cell>
          <cell r="N328" t="str">
            <v>2024-03-29 14:19:55</v>
          </cell>
          <cell r="O328" t="str">
            <v>单涛</v>
          </cell>
          <cell r="P328" t="str">
            <v>单涛</v>
          </cell>
          <cell r="Q328" t="str">
            <v/>
          </cell>
          <cell r="R328" t="str">
            <v>否</v>
          </cell>
          <cell r="S328" t="str">
            <v/>
          </cell>
          <cell r="T328" t="str">
            <v/>
          </cell>
          <cell r="U328" t="str">
            <v/>
          </cell>
          <cell r="V328" t="str">
            <v/>
          </cell>
          <cell r="W328" t="str">
            <v/>
          </cell>
          <cell r="X328" t="str">
            <v/>
          </cell>
          <cell r="Y328" t="str">
            <v>4010100025</v>
          </cell>
          <cell r="Z328" t="str">
            <v>-</v>
          </cell>
          <cell r="AA328" t="str">
            <v/>
          </cell>
          <cell r="AB328" t="str">
            <v/>
          </cell>
          <cell r="AC328" t="str">
            <v/>
          </cell>
          <cell r="AD328" t="str">
            <v/>
          </cell>
          <cell r="AE328" t="str">
            <v/>
          </cell>
          <cell r="AF328" t="str">
            <v/>
          </cell>
          <cell r="AG328" t="str">
            <v/>
          </cell>
          <cell r="AH328" t="str">
            <v/>
          </cell>
          <cell r="AI328" t="str">
            <v/>
          </cell>
          <cell r="AJ328" t="str">
            <v/>
          </cell>
          <cell r="AK328" t="str">
            <v/>
          </cell>
        </row>
        <row r="329">
          <cell r="A329">
            <v>1081000009</v>
          </cell>
          <cell r="B329" t="str">
            <v>封口贴纸</v>
          </cell>
          <cell r="C329" t="str">
            <v/>
          </cell>
          <cell r="D329" t="str">
            <v>个</v>
          </cell>
          <cell r="E329" t="str">
            <v/>
          </cell>
          <cell r="F329" t="str">
            <v>30*20 #09</v>
          </cell>
          <cell r="G329" t="str">
            <v/>
          </cell>
          <cell r="H329" t="str">
            <v>其它物料</v>
          </cell>
          <cell r="I329" t="str">
            <v>否</v>
          </cell>
          <cell r="J329" t="str">
            <v>否</v>
          </cell>
          <cell r="K329" t="str">
            <v>深圳积木易搭科技技术有限公司</v>
          </cell>
          <cell r="L329" t="str">
            <v/>
          </cell>
          <cell r="M329" t="str">
            <v>2024-03-12 15:04:28</v>
          </cell>
          <cell r="N329" t="str">
            <v>2024-03-12 15:04:28</v>
          </cell>
          <cell r="O329" t="str">
            <v>单涛</v>
          </cell>
          <cell r="P329" t="str">
            <v/>
          </cell>
          <cell r="Q329" t="str">
            <v/>
          </cell>
          <cell r="R329" t="str">
            <v>否</v>
          </cell>
          <cell r="S329" t="str">
            <v/>
          </cell>
          <cell r="T329" t="str">
            <v/>
          </cell>
          <cell r="U329" t="str">
            <v/>
          </cell>
          <cell r="V329" t="str">
            <v/>
          </cell>
          <cell r="W329" t="str">
            <v/>
          </cell>
          <cell r="X329" t="str">
            <v/>
          </cell>
          <cell r="Y329" t="str">
            <v>1081000009</v>
          </cell>
          <cell r="Z329" t="str">
            <v>-</v>
          </cell>
          <cell r="AA329" t="str">
            <v/>
          </cell>
          <cell r="AB329" t="str">
            <v/>
          </cell>
          <cell r="AC329" t="str">
            <v/>
          </cell>
          <cell r="AD329" t="str">
            <v/>
          </cell>
          <cell r="AE329" t="str">
            <v/>
          </cell>
          <cell r="AF329" t="str">
            <v/>
          </cell>
          <cell r="AG329" t="str">
            <v/>
          </cell>
          <cell r="AH329" t="str">
            <v/>
          </cell>
          <cell r="AI329" t="str">
            <v/>
          </cell>
          <cell r="AJ329" t="str">
            <v/>
          </cell>
          <cell r="AK329" t="str">
            <v/>
          </cell>
        </row>
        <row r="330">
          <cell r="A330">
            <v>1080100004</v>
          </cell>
          <cell r="B330" t="str">
            <v>天地盖上下盖纸盒</v>
          </cell>
          <cell r="C330" t="str">
            <v/>
          </cell>
          <cell r="D330" t="str">
            <v>个</v>
          </cell>
          <cell r="E330" t="str">
            <v/>
          </cell>
          <cell r="F330" t="str">
            <v>20.8*13.8*10.8cn,2.0工业纸板</v>
          </cell>
          <cell r="G330" t="str">
            <v/>
          </cell>
          <cell r="H330" t="str">
            <v>其它物料</v>
          </cell>
          <cell r="I330" t="str">
            <v>否</v>
          </cell>
          <cell r="J330" t="str">
            <v>否</v>
          </cell>
          <cell r="K330" t="str">
            <v>深圳积木易搭科技技术有限公司</v>
          </cell>
          <cell r="L330" t="str">
            <v/>
          </cell>
          <cell r="M330" t="str">
            <v>2024-03-12 15:01:40</v>
          </cell>
          <cell r="N330" t="str">
            <v>2024-03-12 15:01:40</v>
          </cell>
          <cell r="O330" t="str">
            <v>单涛</v>
          </cell>
          <cell r="P330" t="str">
            <v/>
          </cell>
          <cell r="Q330" t="str">
            <v/>
          </cell>
          <cell r="R330" t="str">
            <v>否</v>
          </cell>
          <cell r="S330" t="str">
            <v/>
          </cell>
          <cell r="T330" t="str">
            <v/>
          </cell>
          <cell r="U330" t="str">
            <v/>
          </cell>
          <cell r="V330" t="str">
            <v/>
          </cell>
          <cell r="W330" t="str">
            <v/>
          </cell>
          <cell r="X330" t="str">
            <v/>
          </cell>
          <cell r="Y330" t="str">
            <v>1080100004</v>
          </cell>
          <cell r="Z330" t="str">
            <v>-</v>
          </cell>
          <cell r="AA330" t="str">
            <v/>
          </cell>
          <cell r="AB330" t="str">
            <v/>
          </cell>
          <cell r="AC330" t="str">
            <v/>
          </cell>
          <cell r="AD330" t="str">
            <v/>
          </cell>
          <cell r="AE330" t="str">
            <v/>
          </cell>
          <cell r="AF330" t="str">
            <v/>
          </cell>
          <cell r="AG330" t="str">
            <v/>
          </cell>
          <cell r="AH330" t="str">
            <v/>
          </cell>
          <cell r="AI330" t="str">
            <v/>
          </cell>
          <cell r="AJ330" t="str">
            <v/>
          </cell>
          <cell r="AK330" t="str">
            <v/>
          </cell>
        </row>
        <row r="331">
          <cell r="A331">
            <v>1080100003</v>
          </cell>
          <cell r="B331" t="str">
            <v>低配天地盖插头纸盒</v>
          </cell>
          <cell r="C331" t="str">
            <v/>
          </cell>
          <cell r="D331" t="str">
            <v>个</v>
          </cell>
          <cell r="E331" t="str">
            <v/>
          </cell>
          <cell r="F331" t="str">
            <v>天地盖配套334(l)*103(W)*54(H)mm</v>
          </cell>
          <cell r="G331" t="str">
            <v/>
          </cell>
          <cell r="H331" t="str">
            <v>其它物料</v>
          </cell>
          <cell r="I331" t="str">
            <v>否</v>
          </cell>
          <cell r="J331" t="str">
            <v>否</v>
          </cell>
          <cell r="K331" t="str">
            <v>深圳积木易搭科技技术有限公司</v>
          </cell>
          <cell r="L331" t="str">
            <v/>
          </cell>
          <cell r="M331" t="str">
            <v>2024-03-12 15:00:44</v>
          </cell>
          <cell r="N331" t="str">
            <v>2024-03-12 15:00:44</v>
          </cell>
          <cell r="O331" t="str">
            <v>单涛</v>
          </cell>
          <cell r="P331" t="str">
            <v/>
          </cell>
          <cell r="Q331" t="str">
            <v/>
          </cell>
          <cell r="R331" t="str">
            <v>否</v>
          </cell>
          <cell r="S331" t="str">
            <v/>
          </cell>
          <cell r="T331" t="str">
            <v/>
          </cell>
          <cell r="U331" t="str">
            <v/>
          </cell>
          <cell r="V331" t="str">
            <v/>
          </cell>
          <cell r="W331" t="str">
            <v/>
          </cell>
          <cell r="X331" t="str">
            <v/>
          </cell>
          <cell r="Y331" t="str">
            <v>1080100003</v>
          </cell>
          <cell r="Z331" t="str">
            <v>-</v>
          </cell>
          <cell r="AA331" t="str">
            <v/>
          </cell>
          <cell r="AB331" t="str">
            <v/>
          </cell>
          <cell r="AC331" t="str">
            <v/>
          </cell>
          <cell r="AD331" t="str">
            <v/>
          </cell>
          <cell r="AE331" t="str">
            <v/>
          </cell>
          <cell r="AF331" t="str">
            <v/>
          </cell>
          <cell r="AG331" t="str">
            <v/>
          </cell>
          <cell r="AH331" t="str">
            <v/>
          </cell>
          <cell r="AI331" t="str">
            <v/>
          </cell>
          <cell r="AJ331" t="str">
            <v/>
          </cell>
          <cell r="AK331" t="str">
            <v/>
          </cell>
        </row>
        <row r="332">
          <cell r="A332">
            <v>1300100147</v>
          </cell>
          <cell r="B332" t="str">
            <v>三维扫描仪 JMA1(美英)</v>
          </cell>
          <cell r="C332" t="str">
            <v/>
          </cell>
          <cell r="D332" t="str">
            <v>台</v>
          </cell>
          <cell r="E332" t="str">
            <v/>
          </cell>
          <cell r="F332" t="str">
            <v>三维扫描仪 JMA1(美英)</v>
          </cell>
          <cell r="G332" t="str">
            <v>3DMakerpro</v>
          </cell>
          <cell r="H332" t="str">
            <v>三维扫描仪-JMA1</v>
          </cell>
          <cell r="I332" t="str">
            <v>否</v>
          </cell>
          <cell r="J332" t="str">
            <v>否</v>
          </cell>
          <cell r="K332" t="str">
            <v>深圳积木易搭科技技术有限公司</v>
          </cell>
          <cell r="L332" t="str">
            <v/>
          </cell>
          <cell r="M332" t="str">
            <v>2024-03-05 14:22:13</v>
          </cell>
          <cell r="N332" t="str">
            <v>2025-01-14 13:57:43</v>
          </cell>
          <cell r="O332" t="str">
            <v>单涛</v>
          </cell>
          <cell r="P332" t="str">
            <v/>
          </cell>
          <cell r="Q332" t="str">
            <v/>
          </cell>
          <cell r="R332" t="str">
            <v>否</v>
          </cell>
          <cell r="S332" t="str">
            <v/>
          </cell>
          <cell r="T332" t="str">
            <v/>
          </cell>
          <cell r="U332" t="str">
            <v/>
          </cell>
          <cell r="V332" t="str">
            <v/>
          </cell>
          <cell r="W332" t="str">
            <v/>
          </cell>
          <cell r="X332" t="str">
            <v/>
          </cell>
          <cell r="Y332" t="str">
            <v>1300100147</v>
          </cell>
          <cell r="Z332" t="str">
            <v>JMA1</v>
          </cell>
          <cell r="AA332" t="str">
            <v/>
          </cell>
          <cell r="AB332" t="str">
            <v/>
          </cell>
          <cell r="AC332" t="str">
            <v/>
          </cell>
          <cell r="AD332" t="str">
            <v/>
          </cell>
          <cell r="AE332" t="str">
            <v/>
          </cell>
          <cell r="AF332" t="str">
            <v/>
          </cell>
          <cell r="AG332" t="str">
            <v/>
          </cell>
          <cell r="AH332" t="str">
            <v/>
          </cell>
          <cell r="AI332" t="str">
            <v/>
          </cell>
          <cell r="AJ332" t="str">
            <v>9031499000</v>
          </cell>
          <cell r="AK332" t="str">
            <v/>
          </cell>
        </row>
        <row r="333">
          <cell r="A333">
            <v>1050200007</v>
          </cell>
          <cell r="B333" t="str">
            <v>Seal蓝牙适配器</v>
          </cell>
          <cell r="C333" t="str">
            <v/>
          </cell>
          <cell r="D333" t="str">
            <v>个</v>
          </cell>
          <cell r="E333" t="str">
            <v/>
          </cell>
          <cell r="F333" t="str">
            <v>Seal蓝牙适配器</v>
          </cell>
          <cell r="G333" t="str">
            <v>3DMakerpro</v>
          </cell>
          <cell r="H333" t="str">
            <v>三维扫描仪备品备件</v>
          </cell>
          <cell r="I333" t="str">
            <v>否</v>
          </cell>
          <cell r="J333" t="str">
            <v>否</v>
          </cell>
          <cell r="K333" t="str">
            <v>深圳积木易搭科技技术有限公司</v>
          </cell>
          <cell r="L333" t="str">
            <v/>
          </cell>
          <cell r="M333" t="str">
            <v>2024-02-29 15:48:35</v>
          </cell>
          <cell r="N333" t="str">
            <v>2024-02-29 15:48:35</v>
          </cell>
          <cell r="O333" t="str">
            <v>单涛</v>
          </cell>
          <cell r="P333" t="str">
            <v/>
          </cell>
          <cell r="Q333" t="str">
            <v/>
          </cell>
          <cell r="R333" t="str">
            <v>否</v>
          </cell>
          <cell r="S333" t="str">
            <v/>
          </cell>
          <cell r="T333" t="str">
            <v/>
          </cell>
          <cell r="U333" t="str">
            <v/>
          </cell>
          <cell r="V333" t="str">
            <v/>
          </cell>
          <cell r="W333" t="str">
            <v/>
          </cell>
          <cell r="X333" t="str">
            <v/>
          </cell>
          <cell r="Y333" t="str">
            <v>1050200007</v>
          </cell>
          <cell r="Z333" t="str">
            <v>-</v>
          </cell>
          <cell r="AA333" t="str">
            <v/>
          </cell>
          <cell r="AB333" t="str">
            <v/>
          </cell>
          <cell r="AC333" t="str">
            <v/>
          </cell>
          <cell r="AD333" t="str">
            <v/>
          </cell>
          <cell r="AE333" t="str">
            <v/>
          </cell>
          <cell r="AF333" t="str">
            <v/>
          </cell>
          <cell r="AG333" t="str">
            <v/>
          </cell>
          <cell r="AH333" t="str">
            <v/>
          </cell>
          <cell r="AI333" t="str">
            <v/>
          </cell>
          <cell r="AJ333" t="str">
            <v/>
          </cell>
          <cell r="AK333" t="str">
            <v/>
          </cell>
        </row>
        <row r="334">
          <cell r="A334">
            <v>1040600062</v>
          </cell>
          <cell r="B334" t="str">
            <v>Seal多轴转台电源适配器</v>
          </cell>
          <cell r="C334" t="str">
            <v/>
          </cell>
          <cell r="D334" t="str">
            <v>个</v>
          </cell>
          <cell r="E334" t="str">
            <v/>
          </cell>
          <cell r="F334" t="str">
            <v>Seal多轴转台电源适配器</v>
          </cell>
          <cell r="G334" t="str">
            <v>3DMakerpro</v>
          </cell>
          <cell r="H334" t="str">
            <v>三维扫描仪备品备件</v>
          </cell>
          <cell r="I334" t="str">
            <v>否</v>
          </cell>
          <cell r="J334" t="str">
            <v>否</v>
          </cell>
          <cell r="K334" t="str">
            <v>深圳积木易搭科技技术有限公司</v>
          </cell>
          <cell r="L334" t="str">
            <v/>
          </cell>
          <cell r="M334" t="str">
            <v>2024-02-29 15:47:46</v>
          </cell>
          <cell r="N334" t="str">
            <v>2024-02-29 15:47:46</v>
          </cell>
          <cell r="O334" t="str">
            <v>单涛</v>
          </cell>
          <cell r="P334" t="str">
            <v/>
          </cell>
          <cell r="Q334" t="str">
            <v/>
          </cell>
          <cell r="R334" t="str">
            <v>否</v>
          </cell>
          <cell r="S334" t="str">
            <v/>
          </cell>
          <cell r="T334" t="str">
            <v/>
          </cell>
          <cell r="U334" t="str">
            <v/>
          </cell>
          <cell r="V334" t="str">
            <v/>
          </cell>
          <cell r="W334" t="str">
            <v/>
          </cell>
          <cell r="X334" t="str">
            <v/>
          </cell>
          <cell r="Y334" t="str">
            <v>1040600062</v>
          </cell>
          <cell r="Z334" t="str">
            <v>-</v>
          </cell>
          <cell r="AA334" t="str">
            <v/>
          </cell>
          <cell r="AB334" t="str">
            <v/>
          </cell>
          <cell r="AC334" t="str">
            <v/>
          </cell>
          <cell r="AD334" t="str">
            <v/>
          </cell>
          <cell r="AE334" t="str">
            <v/>
          </cell>
          <cell r="AF334" t="str">
            <v/>
          </cell>
          <cell r="AG334" t="str">
            <v/>
          </cell>
          <cell r="AH334" t="str">
            <v/>
          </cell>
          <cell r="AI334" t="str">
            <v/>
          </cell>
          <cell r="AJ334" t="str">
            <v/>
          </cell>
          <cell r="AK334" t="str">
            <v/>
          </cell>
        </row>
        <row r="335">
          <cell r="A335">
            <v>1081000067</v>
          </cell>
          <cell r="B335" t="str">
            <v>一体线警示标签</v>
          </cell>
          <cell r="C335" t="str">
            <v/>
          </cell>
          <cell r="D335" t="str">
            <v>个</v>
          </cell>
          <cell r="E335" t="str">
            <v/>
          </cell>
          <cell r="F335" t="str">
            <v>一体线警示标签</v>
          </cell>
          <cell r="G335" t="str">
            <v/>
          </cell>
          <cell r="H335" t="str">
            <v>其它物料</v>
          </cell>
          <cell r="I335" t="str">
            <v>否</v>
          </cell>
          <cell r="J335" t="str">
            <v>否</v>
          </cell>
          <cell r="K335" t="str">
            <v>深圳积木易搭科技技术有限公司</v>
          </cell>
          <cell r="L335" t="str">
            <v/>
          </cell>
          <cell r="M335" t="str">
            <v>2024-02-29 15:29:27</v>
          </cell>
          <cell r="N335" t="str">
            <v>2024-02-29 15:29:27</v>
          </cell>
          <cell r="O335" t="str">
            <v>单涛</v>
          </cell>
          <cell r="P335" t="str">
            <v/>
          </cell>
          <cell r="Q335" t="str">
            <v/>
          </cell>
          <cell r="R335" t="str">
            <v>否</v>
          </cell>
          <cell r="S335" t="str">
            <v/>
          </cell>
          <cell r="T335" t="str">
            <v/>
          </cell>
          <cell r="U335" t="str">
            <v/>
          </cell>
          <cell r="V335" t="str">
            <v/>
          </cell>
          <cell r="W335" t="str">
            <v/>
          </cell>
          <cell r="X335" t="str">
            <v/>
          </cell>
          <cell r="Y335" t="str">
            <v>1081000067</v>
          </cell>
          <cell r="Z335" t="str">
            <v>-</v>
          </cell>
          <cell r="AA335" t="str">
            <v/>
          </cell>
          <cell r="AB335" t="str">
            <v/>
          </cell>
          <cell r="AC335" t="str">
            <v/>
          </cell>
          <cell r="AD335" t="str">
            <v/>
          </cell>
          <cell r="AE335" t="str">
            <v/>
          </cell>
          <cell r="AF335" t="str">
            <v/>
          </cell>
          <cell r="AG335" t="str">
            <v/>
          </cell>
          <cell r="AH335" t="str">
            <v/>
          </cell>
          <cell r="AI335" t="str">
            <v/>
          </cell>
          <cell r="AJ335" t="str">
            <v/>
          </cell>
          <cell r="AK335" t="str">
            <v/>
          </cell>
        </row>
        <row r="336">
          <cell r="A336" t="str">
            <v>1040600009B</v>
          </cell>
          <cell r="B336" t="str">
            <v>欧规插头黑色</v>
          </cell>
          <cell r="C336" t="str">
            <v/>
          </cell>
          <cell r="D336" t="str">
            <v>个</v>
          </cell>
          <cell r="E336" t="str">
            <v/>
          </cell>
          <cell r="F336" t="str">
            <v>欧规插头黑色,DC头/USB 2.0/OB5芯带拉绳/2m/黑色</v>
          </cell>
          <cell r="G336" t="str">
            <v>3DMakerpro</v>
          </cell>
          <cell r="H336" t="str">
            <v>三维扫描仪备品备件</v>
          </cell>
          <cell r="I336" t="str">
            <v>否</v>
          </cell>
          <cell r="J336" t="str">
            <v>否</v>
          </cell>
          <cell r="K336" t="str">
            <v>深圳积木易搭科技技术有限公司</v>
          </cell>
          <cell r="L336" t="str">
            <v/>
          </cell>
          <cell r="M336" t="str">
            <v>2024-02-29 15:28:15</v>
          </cell>
          <cell r="N336" t="str">
            <v>2024-02-29 15:28:15</v>
          </cell>
          <cell r="O336" t="str">
            <v>单涛</v>
          </cell>
          <cell r="P336" t="str">
            <v/>
          </cell>
          <cell r="Q336" t="str">
            <v/>
          </cell>
          <cell r="R336" t="str">
            <v>否</v>
          </cell>
          <cell r="S336" t="str">
            <v/>
          </cell>
          <cell r="T336" t="str">
            <v/>
          </cell>
          <cell r="U336" t="str">
            <v/>
          </cell>
          <cell r="V336" t="str">
            <v/>
          </cell>
          <cell r="W336" t="str">
            <v/>
          </cell>
          <cell r="X336" t="str">
            <v/>
          </cell>
          <cell r="Y336" t="str">
            <v>1040600009B</v>
          </cell>
          <cell r="Z336" t="str">
            <v>-</v>
          </cell>
          <cell r="AA336" t="str">
            <v/>
          </cell>
          <cell r="AB336" t="str">
            <v/>
          </cell>
          <cell r="AC336" t="str">
            <v/>
          </cell>
          <cell r="AD336" t="str">
            <v/>
          </cell>
          <cell r="AE336" t="str">
            <v/>
          </cell>
          <cell r="AF336" t="str">
            <v/>
          </cell>
          <cell r="AG336" t="str">
            <v/>
          </cell>
          <cell r="AH336" t="str">
            <v/>
          </cell>
          <cell r="AI336" t="str">
            <v/>
          </cell>
          <cell r="AJ336" t="str">
            <v/>
          </cell>
          <cell r="AK336" t="str">
            <v/>
          </cell>
        </row>
        <row r="337">
          <cell r="A337">
            <v>1200100049</v>
          </cell>
          <cell r="B337" t="str">
            <v>mole 整机(蓝光医疗)</v>
          </cell>
          <cell r="C337" t="str">
            <v>3D Scanner Mole Premium</v>
          </cell>
          <cell r="D337" t="str">
            <v>台</v>
          </cell>
          <cell r="E337" t="str">
            <v/>
          </cell>
          <cell r="F337" t="str">
            <v>mole 整机(蓝光医疗)</v>
          </cell>
          <cell r="G337" t="str">
            <v>3DMakerpro</v>
          </cell>
          <cell r="H337" t="str">
            <v>三维扫描仪备品备件</v>
          </cell>
          <cell r="I337" t="str">
            <v>否</v>
          </cell>
          <cell r="J337" t="str">
            <v>否</v>
          </cell>
          <cell r="K337" t="str">
            <v>深圳积木易搭科技技术有限公司</v>
          </cell>
          <cell r="L337" t="str">
            <v/>
          </cell>
          <cell r="M337" t="str">
            <v>2024-02-29 15:26:54</v>
          </cell>
          <cell r="N337" t="str">
            <v>2024-02-29 15:26:54</v>
          </cell>
          <cell r="O337" t="str">
            <v>单涛</v>
          </cell>
          <cell r="P337" t="str">
            <v/>
          </cell>
          <cell r="Q337" t="str">
            <v/>
          </cell>
          <cell r="R337" t="str">
            <v>否</v>
          </cell>
          <cell r="S337" t="str">
            <v/>
          </cell>
          <cell r="T337" t="str">
            <v/>
          </cell>
          <cell r="U337" t="str">
            <v/>
          </cell>
          <cell r="V337" t="str">
            <v/>
          </cell>
          <cell r="W337" t="str">
            <v/>
          </cell>
          <cell r="X337" t="str">
            <v/>
          </cell>
          <cell r="Y337" t="str">
            <v>1200100049</v>
          </cell>
          <cell r="Z337" t="str">
            <v>JMM2</v>
          </cell>
          <cell r="AA337" t="str">
            <v/>
          </cell>
          <cell r="AB337" t="str">
            <v/>
          </cell>
          <cell r="AC337" t="str">
            <v/>
          </cell>
          <cell r="AD337" t="str">
            <v/>
          </cell>
          <cell r="AE337" t="str">
            <v/>
          </cell>
          <cell r="AF337" t="str">
            <v/>
          </cell>
          <cell r="AG337" t="str">
            <v/>
          </cell>
          <cell r="AH337" t="str">
            <v/>
          </cell>
          <cell r="AI337" t="str">
            <v/>
          </cell>
          <cell r="AJ337" t="str">
            <v/>
          </cell>
          <cell r="AK337" t="str">
            <v/>
          </cell>
        </row>
        <row r="338">
          <cell r="A338">
            <v>1080700001</v>
          </cell>
          <cell r="B338" t="str">
            <v>PET封口袋</v>
          </cell>
          <cell r="C338" t="str">
            <v/>
          </cell>
          <cell r="D338" t="str">
            <v>个</v>
          </cell>
          <cell r="E338" t="str">
            <v/>
          </cell>
          <cell r="F338" t="str">
            <v>PET封口袋</v>
          </cell>
          <cell r="G338" t="str">
            <v/>
          </cell>
          <cell r="H338" t="str">
            <v>其它物料</v>
          </cell>
          <cell r="I338" t="str">
            <v>否</v>
          </cell>
          <cell r="J338" t="str">
            <v>否</v>
          </cell>
          <cell r="K338" t="str">
            <v>深圳积木易搭科技技术有限公司</v>
          </cell>
          <cell r="L338" t="str">
            <v/>
          </cell>
          <cell r="M338" t="str">
            <v>2024-02-28 10:57:55</v>
          </cell>
          <cell r="N338" t="str">
            <v>2024-02-28 10:57:55</v>
          </cell>
          <cell r="O338" t="str">
            <v>单涛</v>
          </cell>
          <cell r="P338" t="str">
            <v/>
          </cell>
          <cell r="Q338" t="str">
            <v/>
          </cell>
          <cell r="R338" t="str">
            <v>否</v>
          </cell>
          <cell r="S338" t="str">
            <v/>
          </cell>
          <cell r="T338" t="str">
            <v/>
          </cell>
          <cell r="U338" t="str">
            <v/>
          </cell>
          <cell r="V338" t="str">
            <v/>
          </cell>
          <cell r="W338" t="str">
            <v/>
          </cell>
          <cell r="X338" t="str">
            <v/>
          </cell>
          <cell r="Y338" t="str">
            <v>1080700001</v>
          </cell>
          <cell r="Z338" t="str">
            <v>-</v>
          </cell>
          <cell r="AA338" t="str">
            <v/>
          </cell>
          <cell r="AB338" t="str">
            <v/>
          </cell>
          <cell r="AC338" t="str">
            <v/>
          </cell>
          <cell r="AD338" t="str">
            <v/>
          </cell>
          <cell r="AE338" t="str">
            <v/>
          </cell>
          <cell r="AF338" t="str">
            <v/>
          </cell>
          <cell r="AG338" t="str">
            <v/>
          </cell>
          <cell r="AH338" t="str">
            <v/>
          </cell>
          <cell r="AI338" t="str">
            <v/>
          </cell>
          <cell r="AJ338" t="str">
            <v/>
          </cell>
          <cell r="AK338" t="str">
            <v/>
          </cell>
        </row>
        <row r="339">
          <cell r="A339">
            <v>1080400021</v>
          </cell>
          <cell r="B339" t="str">
            <v>mole彩色套件盒</v>
          </cell>
          <cell r="C339" t="str">
            <v/>
          </cell>
          <cell r="D339" t="str">
            <v>个</v>
          </cell>
          <cell r="E339" t="str">
            <v/>
          </cell>
          <cell r="F339" t="str">
            <v>mole彩色套件盒</v>
          </cell>
          <cell r="G339" t="str">
            <v/>
          </cell>
          <cell r="H339" t="str">
            <v>其它物料</v>
          </cell>
          <cell r="I339" t="str">
            <v>否</v>
          </cell>
          <cell r="J339" t="str">
            <v>否</v>
          </cell>
          <cell r="K339" t="str">
            <v>深圳积木易搭科技技术有限公司</v>
          </cell>
          <cell r="L339" t="str">
            <v/>
          </cell>
          <cell r="M339" t="str">
            <v>2024-02-27 17:14:24</v>
          </cell>
          <cell r="N339" t="str">
            <v>2024-02-27 17:14:24</v>
          </cell>
          <cell r="O339" t="str">
            <v>单涛</v>
          </cell>
          <cell r="P339" t="str">
            <v/>
          </cell>
          <cell r="Q339" t="str">
            <v/>
          </cell>
          <cell r="R339" t="str">
            <v>否</v>
          </cell>
          <cell r="S339" t="str">
            <v/>
          </cell>
          <cell r="T339" t="str">
            <v/>
          </cell>
          <cell r="U339" t="str">
            <v/>
          </cell>
          <cell r="V339" t="str">
            <v/>
          </cell>
          <cell r="W339" t="str">
            <v/>
          </cell>
          <cell r="X339" t="str">
            <v/>
          </cell>
          <cell r="Y339" t="str">
            <v>1080400021</v>
          </cell>
          <cell r="Z339" t="str">
            <v>-</v>
          </cell>
          <cell r="AA339" t="str">
            <v/>
          </cell>
          <cell r="AB339" t="str">
            <v/>
          </cell>
          <cell r="AC339" t="str">
            <v/>
          </cell>
          <cell r="AD339" t="str">
            <v/>
          </cell>
          <cell r="AE339" t="str">
            <v/>
          </cell>
          <cell r="AF339" t="str">
            <v/>
          </cell>
          <cell r="AG339" t="str">
            <v/>
          </cell>
          <cell r="AH339" t="str">
            <v/>
          </cell>
          <cell r="AI339" t="str">
            <v/>
          </cell>
          <cell r="AJ339" t="str">
            <v/>
          </cell>
          <cell r="AK339" t="str">
            <v/>
          </cell>
        </row>
        <row r="340">
          <cell r="A340">
            <v>1080700012</v>
          </cell>
          <cell r="B340" t="str">
            <v>转台包装袋</v>
          </cell>
          <cell r="C340" t="str">
            <v/>
          </cell>
          <cell r="D340" t="str">
            <v>个</v>
          </cell>
          <cell r="E340" t="str">
            <v/>
          </cell>
          <cell r="F340" t="str">
            <v>转台包装袋</v>
          </cell>
          <cell r="G340" t="str">
            <v/>
          </cell>
          <cell r="H340" t="str">
            <v>其它物料</v>
          </cell>
          <cell r="I340" t="str">
            <v>否</v>
          </cell>
          <cell r="J340" t="str">
            <v>否</v>
          </cell>
          <cell r="K340" t="str">
            <v>深圳积木易搭科技技术有限公司</v>
          </cell>
          <cell r="L340" t="str">
            <v/>
          </cell>
          <cell r="M340" t="str">
            <v>2024-02-27 17:13:28</v>
          </cell>
          <cell r="N340" t="str">
            <v>2024-02-27 17:13:28</v>
          </cell>
          <cell r="O340" t="str">
            <v>单涛</v>
          </cell>
          <cell r="P340" t="str">
            <v/>
          </cell>
          <cell r="Q340" t="str">
            <v/>
          </cell>
          <cell r="R340" t="str">
            <v>否</v>
          </cell>
          <cell r="S340" t="str">
            <v/>
          </cell>
          <cell r="T340" t="str">
            <v/>
          </cell>
          <cell r="U340" t="str">
            <v/>
          </cell>
          <cell r="V340" t="str">
            <v/>
          </cell>
          <cell r="W340" t="str">
            <v/>
          </cell>
          <cell r="X340" t="str">
            <v/>
          </cell>
          <cell r="Y340" t="str">
            <v>1080700012</v>
          </cell>
          <cell r="Z340" t="str">
            <v>-</v>
          </cell>
          <cell r="AA340" t="str">
            <v/>
          </cell>
          <cell r="AB340" t="str">
            <v/>
          </cell>
          <cell r="AC340" t="str">
            <v/>
          </cell>
          <cell r="AD340" t="str">
            <v/>
          </cell>
          <cell r="AE340" t="str">
            <v/>
          </cell>
          <cell r="AF340" t="str">
            <v/>
          </cell>
          <cell r="AG340" t="str">
            <v/>
          </cell>
          <cell r="AH340" t="str">
            <v/>
          </cell>
          <cell r="AI340" t="str">
            <v/>
          </cell>
          <cell r="AJ340" t="str">
            <v/>
          </cell>
          <cell r="AK340" t="str">
            <v/>
          </cell>
        </row>
        <row r="341">
          <cell r="A341">
            <v>1080400017</v>
          </cell>
          <cell r="B341" t="str">
            <v>天地盖外箱</v>
          </cell>
          <cell r="C341" t="str">
            <v/>
          </cell>
          <cell r="D341" t="str">
            <v>个</v>
          </cell>
          <cell r="E341" t="str">
            <v/>
          </cell>
          <cell r="F341" t="str">
            <v>天地盖外箱</v>
          </cell>
          <cell r="G341" t="str">
            <v/>
          </cell>
          <cell r="H341" t="str">
            <v>其它物料</v>
          </cell>
          <cell r="I341" t="str">
            <v>否</v>
          </cell>
          <cell r="J341" t="str">
            <v>否</v>
          </cell>
          <cell r="K341" t="str">
            <v>深圳积木易搭科技技术有限公司</v>
          </cell>
          <cell r="L341" t="str">
            <v/>
          </cell>
          <cell r="M341" t="str">
            <v>2024-02-26 17:56:48</v>
          </cell>
          <cell r="N341" t="str">
            <v>2024-02-26 17:56:48</v>
          </cell>
          <cell r="O341" t="str">
            <v>单涛</v>
          </cell>
          <cell r="P341" t="str">
            <v/>
          </cell>
          <cell r="Q341" t="str">
            <v/>
          </cell>
          <cell r="R341" t="str">
            <v>否</v>
          </cell>
          <cell r="S341" t="str">
            <v/>
          </cell>
          <cell r="T341" t="str">
            <v/>
          </cell>
          <cell r="U341" t="str">
            <v/>
          </cell>
          <cell r="V341" t="str">
            <v/>
          </cell>
          <cell r="W341" t="str">
            <v/>
          </cell>
          <cell r="X341" t="str">
            <v/>
          </cell>
          <cell r="Y341" t="str">
            <v>1080400017</v>
          </cell>
          <cell r="Z341" t="str">
            <v>-</v>
          </cell>
          <cell r="AA341" t="str">
            <v/>
          </cell>
          <cell r="AB341" t="str">
            <v/>
          </cell>
          <cell r="AC341" t="str">
            <v/>
          </cell>
          <cell r="AD341" t="str">
            <v/>
          </cell>
          <cell r="AE341" t="str">
            <v/>
          </cell>
          <cell r="AF341" t="str">
            <v/>
          </cell>
          <cell r="AG341" t="str">
            <v/>
          </cell>
          <cell r="AH341" t="str">
            <v/>
          </cell>
          <cell r="AI341" t="str">
            <v/>
          </cell>
          <cell r="AJ341" t="str">
            <v/>
          </cell>
          <cell r="AK341" t="str">
            <v/>
          </cell>
        </row>
        <row r="342">
          <cell r="A342">
            <v>1080700034</v>
          </cell>
          <cell r="B342" t="str">
            <v>MOLE主机包装袋</v>
          </cell>
          <cell r="C342" t="str">
            <v/>
          </cell>
          <cell r="D342" t="str">
            <v>个</v>
          </cell>
          <cell r="E342" t="str">
            <v/>
          </cell>
          <cell r="F342" t="str">
            <v>MOLE主机包装袋</v>
          </cell>
          <cell r="G342" t="str">
            <v/>
          </cell>
          <cell r="H342" t="str">
            <v>其它物料</v>
          </cell>
          <cell r="I342" t="str">
            <v>否</v>
          </cell>
          <cell r="J342" t="str">
            <v>否</v>
          </cell>
          <cell r="K342" t="str">
            <v>深圳积木易搭科技技术有限公司</v>
          </cell>
          <cell r="L342" t="str">
            <v/>
          </cell>
          <cell r="M342" t="str">
            <v>2024-02-26 17:55:48</v>
          </cell>
          <cell r="N342" t="str">
            <v>2024-02-26 17:55:48</v>
          </cell>
          <cell r="O342" t="str">
            <v>单涛</v>
          </cell>
          <cell r="P342" t="str">
            <v/>
          </cell>
          <cell r="Q342" t="str">
            <v/>
          </cell>
          <cell r="R342" t="str">
            <v>否</v>
          </cell>
          <cell r="S342" t="str">
            <v/>
          </cell>
          <cell r="T342" t="str">
            <v/>
          </cell>
          <cell r="U342" t="str">
            <v/>
          </cell>
          <cell r="V342" t="str">
            <v/>
          </cell>
          <cell r="W342" t="str">
            <v/>
          </cell>
          <cell r="X342" t="str">
            <v/>
          </cell>
          <cell r="Y342" t="str">
            <v>1080700034</v>
          </cell>
          <cell r="Z342" t="str">
            <v>-</v>
          </cell>
          <cell r="AA342" t="str">
            <v/>
          </cell>
          <cell r="AB342" t="str">
            <v/>
          </cell>
          <cell r="AC342" t="str">
            <v/>
          </cell>
          <cell r="AD342" t="str">
            <v/>
          </cell>
          <cell r="AE342" t="str">
            <v/>
          </cell>
          <cell r="AF342" t="str">
            <v/>
          </cell>
          <cell r="AG342" t="str">
            <v/>
          </cell>
          <cell r="AH342" t="str">
            <v/>
          </cell>
          <cell r="AI342" t="str">
            <v/>
          </cell>
          <cell r="AJ342" t="str">
            <v/>
          </cell>
          <cell r="AK342" t="str">
            <v/>
          </cell>
        </row>
        <row r="343">
          <cell r="A343">
            <v>1080100016</v>
          </cell>
          <cell r="B343" t="str">
            <v>中配转台包装盒</v>
          </cell>
          <cell r="C343" t="str">
            <v/>
          </cell>
          <cell r="D343" t="str">
            <v>个</v>
          </cell>
          <cell r="E343" t="str">
            <v/>
          </cell>
          <cell r="F343" t="str">
            <v>中配转台包装盒</v>
          </cell>
          <cell r="G343" t="str">
            <v/>
          </cell>
          <cell r="H343" t="str">
            <v>其它物料</v>
          </cell>
          <cell r="I343" t="str">
            <v>否</v>
          </cell>
          <cell r="J343" t="str">
            <v>否</v>
          </cell>
          <cell r="K343" t="str">
            <v>深圳积木易搭科技技术有限公司</v>
          </cell>
          <cell r="L343" t="str">
            <v/>
          </cell>
          <cell r="M343" t="str">
            <v>2024-02-26 11:10:36</v>
          </cell>
          <cell r="N343" t="str">
            <v>2024-02-26 11:10:36</v>
          </cell>
          <cell r="O343" t="str">
            <v>单涛</v>
          </cell>
          <cell r="P343" t="str">
            <v/>
          </cell>
          <cell r="Q343" t="str">
            <v/>
          </cell>
          <cell r="R343" t="str">
            <v>否</v>
          </cell>
          <cell r="S343" t="str">
            <v/>
          </cell>
          <cell r="T343" t="str">
            <v/>
          </cell>
          <cell r="U343" t="str">
            <v/>
          </cell>
          <cell r="V343" t="str">
            <v/>
          </cell>
          <cell r="W343" t="str">
            <v/>
          </cell>
          <cell r="X343" t="str">
            <v/>
          </cell>
          <cell r="Y343" t="str">
            <v>1080100016</v>
          </cell>
          <cell r="Z343" t="str">
            <v>-</v>
          </cell>
          <cell r="AA343" t="str">
            <v/>
          </cell>
          <cell r="AB343" t="str">
            <v/>
          </cell>
          <cell r="AC343" t="str">
            <v/>
          </cell>
          <cell r="AD343" t="str">
            <v/>
          </cell>
          <cell r="AE343" t="str">
            <v/>
          </cell>
          <cell r="AF343" t="str">
            <v/>
          </cell>
          <cell r="AG343" t="str">
            <v/>
          </cell>
          <cell r="AH343" t="str">
            <v/>
          </cell>
          <cell r="AI343" t="str">
            <v/>
          </cell>
          <cell r="AJ343" t="str">
            <v/>
          </cell>
          <cell r="AK343" t="str">
            <v/>
          </cell>
        </row>
        <row r="344">
          <cell r="A344">
            <v>1080400041</v>
          </cell>
          <cell r="B344" t="str">
            <v>Seal主机包装配件盒</v>
          </cell>
          <cell r="C344" t="str">
            <v/>
          </cell>
          <cell r="D344" t="str">
            <v>个</v>
          </cell>
          <cell r="E344" t="str">
            <v/>
          </cell>
          <cell r="F344" t="str">
            <v>Seal主机包装配件盒</v>
          </cell>
          <cell r="G344" t="str">
            <v/>
          </cell>
          <cell r="H344" t="str">
            <v>其它物料</v>
          </cell>
          <cell r="I344" t="str">
            <v>否</v>
          </cell>
          <cell r="J344" t="str">
            <v>否</v>
          </cell>
          <cell r="K344" t="str">
            <v>深圳积木易搭科技技术有限公司</v>
          </cell>
          <cell r="L344" t="str">
            <v/>
          </cell>
          <cell r="M344" t="str">
            <v>2024-02-26 11:09:13</v>
          </cell>
          <cell r="N344" t="str">
            <v>2024-02-26 11:09:13</v>
          </cell>
          <cell r="O344" t="str">
            <v>单涛</v>
          </cell>
          <cell r="P344" t="str">
            <v/>
          </cell>
          <cell r="Q344" t="str">
            <v/>
          </cell>
          <cell r="R344" t="str">
            <v>否</v>
          </cell>
          <cell r="S344" t="str">
            <v/>
          </cell>
          <cell r="T344" t="str">
            <v/>
          </cell>
          <cell r="U344" t="str">
            <v/>
          </cell>
          <cell r="V344" t="str">
            <v/>
          </cell>
          <cell r="W344" t="str">
            <v/>
          </cell>
          <cell r="X344" t="str">
            <v/>
          </cell>
          <cell r="Y344" t="str">
            <v>1080400041</v>
          </cell>
          <cell r="Z344" t="str">
            <v>-</v>
          </cell>
          <cell r="AA344" t="str">
            <v/>
          </cell>
          <cell r="AB344" t="str">
            <v/>
          </cell>
          <cell r="AC344" t="str">
            <v/>
          </cell>
          <cell r="AD344" t="str">
            <v/>
          </cell>
          <cell r="AE344" t="str">
            <v/>
          </cell>
          <cell r="AF344" t="str">
            <v/>
          </cell>
          <cell r="AG344" t="str">
            <v/>
          </cell>
          <cell r="AH344" t="str">
            <v/>
          </cell>
          <cell r="AI344" t="str">
            <v/>
          </cell>
          <cell r="AJ344" t="str">
            <v/>
          </cell>
          <cell r="AK344" t="str">
            <v/>
          </cell>
        </row>
        <row r="345">
          <cell r="A345">
            <v>1081000102</v>
          </cell>
          <cell r="B345" t="str">
            <v>Seal一体线警示贴纸</v>
          </cell>
          <cell r="C345" t="str">
            <v/>
          </cell>
          <cell r="D345" t="str">
            <v>张</v>
          </cell>
          <cell r="E345" t="str">
            <v/>
          </cell>
          <cell r="F345" t="str">
            <v>Seal一体线警示贴纸</v>
          </cell>
          <cell r="G345" t="str">
            <v/>
          </cell>
          <cell r="H345" t="str">
            <v>其它物料</v>
          </cell>
          <cell r="I345" t="str">
            <v>否</v>
          </cell>
          <cell r="J345" t="str">
            <v>否</v>
          </cell>
          <cell r="K345" t="str">
            <v>深圳积木易搭科技技术有限公司</v>
          </cell>
          <cell r="L345" t="str">
            <v/>
          </cell>
          <cell r="M345" t="str">
            <v>2024-02-26 11:07:42</v>
          </cell>
          <cell r="N345" t="str">
            <v>2024-02-26 11:07:42</v>
          </cell>
          <cell r="O345" t="str">
            <v>单涛</v>
          </cell>
          <cell r="P345" t="str">
            <v/>
          </cell>
          <cell r="Q345" t="str">
            <v/>
          </cell>
          <cell r="R345" t="str">
            <v>否</v>
          </cell>
          <cell r="S345" t="str">
            <v/>
          </cell>
          <cell r="T345" t="str">
            <v/>
          </cell>
          <cell r="U345" t="str">
            <v/>
          </cell>
          <cell r="V345" t="str">
            <v/>
          </cell>
          <cell r="W345" t="str">
            <v/>
          </cell>
          <cell r="X345" t="str">
            <v/>
          </cell>
          <cell r="Y345" t="str">
            <v>1081000102</v>
          </cell>
          <cell r="Z345" t="str">
            <v>-</v>
          </cell>
          <cell r="AA345" t="str">
            <v/>
          </cell>
          <cell r="AB345" t="str">
            <v/>
          </cell>
          <cell r="AC345" t="str">
            <v/>
          </cell>
          <cell r="AD345" t="str">
            <v/>
          </cell>
          <cell r="AE345" t="str">
            <v/>
          </cell>
          <cell r="AF345" t="str">
            <v/>
          </cell>
          <cell r="AG345" t="str">
            <v/>
          </cell>
          <cell r="AH345" t="str">
            <v/>
          </cell>
          <cell r="AI345" t="str">
            <v/>
          </cell>
          <cell r="AJ345" t="str">
            <v/>
          </cell>
          <cell r="AK345" t="str">
            <v/>
          </cell>
        </row>
        <row r="346">
          <cell r="A346">
            <v>1080700010</v>
          </cell>
          <cell r="B346" t="str">
            <v>线缆包装袋</v>
          </cell>
          <cell r="C346" t="str">
            <v/>
          </cell>
          <cell r="D346" t="str">
            <v>个</v>
          </cell>
          <cell r="E346" t="str">
            <v/>
          </cell>
          <cell r="F346" t="str">
            <v>线缆包装袋</v>
          </cell>
          <cell r="G346" t="str">
            <v/>
          </cell>
          <cell r="H346" t="str">
            <v>其它物料</v>
          </cell>
          <cell r="I346" t="str">
            <v>否</v>
          </cell>
          <cell r="J346" t="str">
            <v>否</v>
          </cell>
          <cell r="K346" t="str">
            <v>深圳积木易搭科技技术有限公司</v>
          </cell>
          <cell r="L346" t="str">
            <v/>
          </cell>
          <cell r="M346" t="str">
            <v>2024-02-26 11:03:53</v>
          </cell>
          <cell r="N346" t="str">
            <v>2024-02-26 11:03:53</v>
          </cell>
          <cell r="O346" t="str">
            <v>单涛</v>
          </cell>
          <cell r="P346" t="str">
            <v/>
          </cell>
          <cell r="Q346" t="str">
            <v/>
          </cell>
          <cell r="R346" t="str">
            <v>否</v>
          </cell>
          <cell r="S346" t="str">
            <v/>
          </cell>
          <cell r="T346" t="str">
            <v/>
          </cell>
          <cell r="U346" t="str">
            <v/>
          </cell>
          <cell r="V346" t="str">
            <v/>
          </cell>
          <cell r="W346" t="str">
            <v/>
          </cell>
          <cell r="X346" t="str">
            <v/>
          </cell>
          <cell r="Y346" t="str">
            <v>1080700010</v>
          </cell>
          <cell r="Z346" t="str">
            <v>-</v>
          </cell>
          <cell r="AA346" t="str">
            <v/>
          </cell>
          <cell r="AB346" t="str">
            <v/>
          </cell>
          <cell r="AC346" t="str">
            <v/>
          </cell>
          <cell r="AD346" t="str">
            <v/>
          </cell>
          <cell r="AE346" t="str">
            <v/>
          </cell>
          <cell r="AF346" t="str">
            <v/>
          </cell>
          <cell r="AG346" t="str">
            <v/>
          </cell>
          <cell r="AH346" t="str">
            <v/>
          </cell>
          <cell r="AI346" t="str">
            <v/>
          </cell>
          <cell r="AJ346" t="str">
            <v/>
          </cell>
          <cell r="AK346" t="str">
            <v/>
          </cell>
        </row>
        <row r="347">
          <cell r="A347" t="str">
            <v>1200200016B</v>
          </cell>
          <cell r="B347" t="str">
            <v>PCBA</v>
          </cell>
          <cell r="C347" t="str">
            <v/>
          </cell>
          <cell r="D347" t="str">
            <v>个</v>
          </cell>
          <cell r="E347" t="str">
            <v/>
          </cell>
          <cell r="F347" t="str">
            <v>PCBA</v>
          </cell>
          <cell r="G347" t="str">
            <v/>
          </cell>
          <cell r="H347" t="str">
            <v>三维扫描仪备品备件</v>
          </cell>
          <cell r="I347" t="str">
            <v>否</v>
          </cell>
          <cell r="J347" t="str">
            <v>否</v>
          </cell>
          <cell r="K347" t="str">
            <v>深圳积木易搭科技技术有限公司</v>
          </cell>
          <cell r="L347" t="str">
            <v/>
          </cell>
          <cell r="M347" t="str">
            <v>2024-02-21 10:31:48</v>
          </cell>
          <cell r="N347" t="str">
            <v>2024-02-21 10:31:48</v>
          </cell>
          <cell r="O347" t="str">
            <v>单涛</v>
          </cell>
          <cell r="P347" t="str">
            <v/>
          </cell>
          <cell r="Q347" t="str">
            <v/>
          </cell>
          <cell r="R347" t="str">
            <v>否</v>
          </cell>
          <cell r="S347" t="str">
            <v/>
          </cell>
          <cell r="T347" t="str">
            <v/>
          </cell>
          <cell r="U347" t="str">
            <v/>
          </cell>
          <cell r="V347" t="str">
            <v/>
          </cell>
          <cell r="W347" t="str">
            <v/>
          </cell>
          <cell r="X347" t="str">
            <v/>
          </cell>
          <cell r="Y347" t="str">
            <v>1200200016B</v>
          </cell>
          <cell r="Z347" t="str">
            <v>-</v>
          </cell>
          <cell r="AA347" t="str">
            <v/>
          </cell>
          <cell r="AB347" t="str">
            <v/>
          </cell>
          <cell r="AC347" t="str">
            <v/>
          </cell>
          <cell r="AD347" t="str">
            <v/>
          </cell>
          <cell r="AE347" t="str">
            <v/>
          </cell>
          <cell r="AF347" t="str">
            <v/>
          </cell>
          <cell r="AG347" t="str">
            <v/>
          </cell>
          <cell r="AH347" t="str">
            <v/>
          </cell>
          <cell r="AI347" t="str">
            <v/>
          </cell>
          <cell r="AJ347" t="str">
            <v/>
          </cell>
          <cell r="AK347" t="str">
            <v/>
          </cell>
        </row>
        <row r="348">
          <cell r="A348">
            <v>1200100061</v>
          </cell>
          <cell r="B348" t="str">
            <v>智能手柄</v>
          </cell>
          <cell r="C348" t="str">
            <v>3D Scanner Smart Grip</v>
          </cell>
          <cell r="D348" t="str">
            <v>台</v>
          </cell>
          <cell r="E348" t="str">
            <v/>
          </cell>
          <cell r="F348" t="str">
            <v>智能手柄</v>
          </cell>
          <cell r="G348" t="str">
            <v>3DMakerpro</v>
          </cell>
          <cell r="H348" t="str">
            <v>三维扫描仪备品备件</v>
          </cell>
          <cell r="I348" t="str">
            <v>否</v>
          </cell>
          <cell r="J348" t="str">
            <v>否</v>
          </cell>
          <cell r="K348" t="str">
            <v>深圳积木易搭科技技术有限公司</v>
          </cell>
          <cell r="L348" t="str">
            <v/>
          </cell>
          <cell r="M348" t="str">
            <v>2024-01-29 13:43:56</v>
          </cell>
          <cell r="N348" t="str">
            <v>2024-02-01 11:37:54</v>
          </cell>
          <cell r="O348" t="str">
            <v>单涛</v>
          </cell>
          <cell r="P348" t="str">
            <v/>
          </cell>
          <cell r="Q348" t="str">
            <v/>
          </cell>
          <cell r="R348" t="str">
            <v>否</v>
          </cell>
          <cell r="S348" t="str">
            <v/>
          </cell>
          <cell r="T348" t="str">
            <v/>
          </cell>
          <cell r="U348" t="str">
            <v/>
          </cell>
          <cell r="V348" t="str">
            <v/>
          </cell>
          <cell r="W348" t="str">
            <v/>
          </cell>
          <cell r="X348" t="str">
            <v/>
          </cell>
          <cell r="Y348" t="str">
            <v>1200100061</v>
          </cell>
          <cell r="Z348" t="str">
            <v>-</v>
          </cell>
          <cell r="AA348" t="str">
            <v/>
          </cell>
          <cell r="AB348">
            <v>22</v>
          </cell>
          <cell r="AC348">
            <v>15</v>
          </cell>
          <cell r="AD348">
            <v>7</v>
          </cell>
          <cell r="AE348">
            <v>2310</v>
          </cell>
          <cell r="AF348" t="str">
            <v>cm³</v>
          </cell>
          <cell r="AG348">
            <v>0.75</v>
          </cell>
          <cell r="AH348" t="str">
            <v>kg</v>
          </cell>
          <cell r="AI348">
            <v>191.2</v>
          </cell>
          <cell r="AJ348" t="str">
            <v/>
          </cell>
          <cell r="AK348" t="str">
            <v/>
          </cell>
        </row>
        <row r="349">
          <cell r="A349">
            <v>1010100098</v>
          </cell>
          <cell r="B349" t="str">
            <v>mole右盖</v>
          </cell>
          <cell r="C349" t="str">
            <v/>
          </cell>
          <cell r="D349" t="str">
            <v>个</v>
          </cell>
          <cell r="E349" t="str">
            <v/>
          </cell>
          <cell r="F349" t="str">
            <v>模具/ABS/CZS07-BA2003A</v>
          </cell>
          <cell r="G349" t="str">
            <v/>
          </cell>
          <cell r="H349" t="str">
            <v>其它物料</v>
          </cell>
          <cell r="I349" t="str">
            <v>否</v>
          </cell>
          <cell r="J349" t="str">
            <v>否</v>
          </cell>
          <cell r="K349" t="str">
            <v>深圳积木易搭科技技术有限公司</v>
          </cell>
          <cell r="L349" t="str">
            <v/>
          </cell>
          <cell r="M349" t="str">
            <v>2024-01-25 11:20:40</v>
          </cell>
          <cell r="N349" t="str">
            <v>2024-01-25 11:20:40</v>
          </cell>
          <cell r="O349" t="str">
            <v>单涛</v>
          </cell>
          <cell r="P349" t="str">
            <v/>
          </cell>
          <cell r="Q349" t="str">
            <v/>
          </cell>
          <cell r="R349" t="str">
            <v>否</v>
          </cell>
          <cell r="S349" t="str">
            <v/>
          </cell>
          <cell r="T349" t="str">
            <v/>
          </cell>
          <cell r="U349" t="str">
            <v/>
          </cell>
          <cell r="V349" t="str">
            <v/>
          </cell>
          <cell r="W349" t="str">
            <v/>
          </cell>
          <cell r="X349" t="str">
            <v/>
          </cell>
          <cell r="Y349" t="str">
            <v>1010100098</v>
          </cell>
          <cell r="Z349" t="str">
            <v>-</v>
          </cell>
          <cell r="AA349" t="str">
            <v/>
          </cell>
          <cell r="AB349" t="str">
            <v/>
          </cell>
          <cell r="AC349" t="str">
            <v/>
          </cell>
          <cell r="AD349" t="str">
            <v/>
          </cell>
          <cell r="AE349" t="str">
            <v/>
          </cell>
          <cell r="AF349" t="str">
            <v/>
          </cell>
          <cell r="AG349" t="str">
            <v/>
          </cell>
          <cell r="AH349" t="str">
            <v/>
          </cell>
          <cell r="AI349" t="str">
            <v/>
          </cell>
          <cell r="AJ349" t="str">
            <v/>
          </cell>
          <cell r="AK349" t="str">
            <v/>
          </cell>
        </row>
        <row r="350">
          <cell r="A350">
            <v>1200200011</v>
          </cell>
          <cell r="B350" t="str">
            <v>PCBA</v>
          </cell>
          <cell r="C350" t="str">
            <v>PCBA</v>
          </cell>
          <cell r="D350" t="str">
            <v>个</v>
          </cell>
          <cell r="E350" t="str">
            <v/>
          </cell>
          <cell r="F350" t="str">
            <v>WHCZ_LS01V3/电源驱动板</v>
          </cell>
          <cell r="G350" t="str">
            <v/>
          </cell>
          <cell r="H350" t="str">
            <v>其它物料</v>
          </cell>
          <cell r="I350" t="str">
            <v>否</v>
          </cell>
          <cell r="J350" t="str">
            <v>否</v>
          </cell>
          <cell r="K350" t="str">
            <v>深圳积木易搭科技技术有限公司</v>
          </cell>
          <cell r="L350" t="str">
            <v/>
          </cell>
          <cell r="M350" t="str">
            <v>2024-01-25 11:19:12</v>
          </cell>
          <cell r="N350" t="str">
            <v>2024-01-25 11:19:12</v>
          </cell>
          <cell r="O350" t="str">
            <v>单涛</v>
          </cell>
          <cell r="P350" t="str">
            <v/>
          </cell>
          <cell r="Q350" t="str">
            <v/>
          </cell>
          <cell r="R350" t="str">
            <v>否</v>
          </cell>
          <cell r="S350" t="str">
            <v/>
          </cell>
          <cell r="T350" t="str">
            <v/>
          </cell>
          <cell r="U350" t="str">
            <v/>
          </cell>
          <cell r="V350" t="str">
            <v/>
          </cell>
          <cell r="W350" t="str">
            <v/>
          </cell>
          <cell r="X350" t="str">
            <v/>
          </cell>
          <cell r="Y350" t="str">
            <v>1200200011</v>
          </cell>
          <cell r="Z350" t="str">
            <v>-</v>
          </cell>
          <cell r="AA350" t="str">
            <v/>
          </cell>
          <cell r="AB350" t="str">
            <v/>
          </cell>
          <cell r="AC350" t="str">
            <v/>
          </cell>
          <cell r="AD350" t="str">
            <v/>
          </cell>
          <cell r="AE350" t="str">
            <v/>
          </cell>
          <cell r="AF350" t="str">
            <v/>
          </cell>
          <cell r="AG350" t="str">
            <v/>
          </cell>
          <cell r="AH350" t="str">
            <v/>
          </cell>
          <cell r="AI350" t="str">
            <v/>
          </cell>
          <cell r="AJ350" t="str">
            <v/>
          </cell>
          <cell r="AK350" t="str">
            <v/>
          </cell>
        </row>
        <row r="351">
          <cell r="A351">
            <v>2010700165</v>
          </cell>
          <cell r="B351" t="str">
            <v>3D打印机K1 Max</v>
          </cell>
          <cell r="C351" t="str">
            <v>3D Printer K1 Max</v>
          </cell>
          <cell r="D351" t="str">
            <v>台</v>
          </cell>
          <cell r="E351" t="str">
            <v>6971636403128</v>
          </cell>
          <cell r="F351" t="str">
            <v>3D打印机K1 Max</v>
          </cell>
          <cell r="G351" t="str">
            <v>Creality</v>
          </cell>
          <cell r="H351" t="str">
            <v>3D打印机</v>
          </cell>
          <cell r="I351" t="str">
            <v>否</v>
          </cell>
          <cell r="J351" t="str">
            <v>否</v>
          </cell>
          <cell r="K351" t="str">
            <v>深圳积木易搭科技技术有限公司</v>
          </cell>
          <cell r="L351" t="str">
            <v/>
          </cell>
          <cell r="M351" t="str">
            <v>2024-01-22 11:12:09</v>
          </cell>
          <cell r="N351" t="str">
            <v>2024-03-13 18:43:29</v>
          </cell>
          <cell r="O351" t="str">
            <v>单涛</v>
          </cell>
          <cell r="P351" t="str">
            <v>单涛</v>
          </cell>
          <cell r="Q351" t="str">
            <v/>
          </cell>
          <cell r="R351" t="str">
            <v>否</v>
          </cell>
          <cell r="S351" t="str">
            <v/>
          </cell>
          <cell r="T351" t="str">
            <v/>
          </cell>
          <cell r="U351" t="str">
            <v/>
          </cell>
          <cell r="V351" t="str">
            <v/>
          </cell>
          <cell r="W351" t="str">
            <v/>
          </cell>
          <cell r="X351" t="str">
            <v/>
          </cell>
          <cell r="Y351" t="str">
            <v>2010700165</v>
          </cell>
          <cell r="Z351" t="str">
            <v>K1 Max</v>
          </cell>
          <cell r="AA351" t="str">
            <v>6971636403128</v>
          </cell>
          <cell r="AB351">
            <v>51</v>
          </cell>
          <cell r="AC351">
            <v>51</v>
          </cell>
          <cell r="AD351">
            <v>61</v>
          </cell>
          <cell r="AE351">
            <v>158661</v>
          </cell>
          <cell r="AF351" t="str">
            <v>cm³</v>
          </cell>
          <cell r="AG351">
            <v>18</v>
          </cell>
          <cell r="AH351" t="str">
            <v>kg</v>
          </cell>
          <cell r="AI351">
            <v>726.25</v>
          </cell>
          <cell r="AJ351" t="str">
            <v>8485200000</v>
          </cell>
          <cell r="AK351" t="str">
            <v>1PCS/CTN</v>
          </cell>
        </row>
        <row r="352">
          <cell r="A352">
            <v>2010700164</v>
          </cell>
          <cell r="B352" t="str">
            <v>3D打印机K1C</v>
          </cell>
          <cell r="C352" t="str">
            <v>3D Printer K1C</v>
          </cell>
          <cell r="D352" t="str">
            <v>台</v>
          </cell>
          <cell r="E352" t="str">
            <v>6971636401735</v>
          </cell>
          <cell r="F352" t="str">
            <v>3D打印机K1C</v>
          </cell>
          <cell r="G352" t="str">
            <v>Creality</v>
          </cell>
          <cell r="H352" t="str">
            <v>3D打印机</v>
          </cell>
          <cell r="I352" t="str">
            <v>否</v>
          </cell>
          <cell r="J352" t="str">
            <v>否</v>
          </cell>
          <cell r="K352" t="str">
            <v>深圳积木易搭科技技术有限公司</v>
          </cell>
          <cell r="L352" t="str">
            <v/>
          </cell>
          <cell r="M352" t="str">
            <v>2024-01-22 11:11:10</v>
          </cell>
          <cell r="N352" t="str">
            <v>2024-03-13 18:43:40</v>
          </cell>
          <cell r="O352" t="str">
            <v>单涛</v>
          </cell>
          <cell r="P352" t="str">
            <v>单涛</v>
          </cell>
          <cell r="Q352" t="str">
            <v/>
          </cell>
          <cell r="R352" t="str">
            <v>否</v>
          </cell>
          <cell r="S352" t="str">
            <v/>
          </cell>
          <cell r="T352" t="str">
            <v/>
          </cell>
          <cell r="U352" t="str">
            <v/>
          </cell>
          <cell r="V352" t="str">
            <v/>
          </cell>
          <cell r="W352" t="str">
            <v/>
          </cell>
          <cell r="X352" t="str">
            <v/>
          </cell>
          <cell r="Y352" t="str">
            <v>2010700164</v>
          </cell>
          <cell r="Z352" t="str">
            <v>K1C</v>
          </cell>
          <cell r="AA352" t="str">
            <v>6971636401735</v>
          </cell>
          <cell r="AB352">
            <v>43</v>
          </cell>
          <cell r="AC352">
            <v>43</v>
          </cell>
          <cell r="AD352">
            <v>57</v>
          </cell>
          <cell r="AE352">
            <v>105393</v>
          </cell>
          <cell r="AF352" t="str">
            <v>cm³</v>
          </cell>
          <cell r="AG352">
            <v>16</v>
          </cell>
          <cell r="AH352" t="str">
            <v>kg</v>
          </cell>
          <cell r="AI352">
            <v>449.25</v>
          </cell>
          <cell r="AJ352" t="str">
            <v>8485200000</v>
          </cell>
          <cell r="AK352" t="str">
            <v>1PCS/CTN</v>
          </cell>
        </row>
        <row r="353">
          <cell r="A353">
            <v>2010700163</v>
          </cell>
          <cell r="B353" t="str">
            <v>3D打印机Ender-3 V3 SE</v>
          </cell>
          <cell r="C353" t="str">
            <v>3D Printer Ender-3 V3 SE</v>
          </cell>
          <cell r="D353" t="str">
            <v>台</v>
          </cell>
          <cell r="E353" t="str">
            <v>6971636403623</v>
          </cell>
          <cell r="F353" t="str">
            <v>3D打印机Ender-3 V3 SE</v>
          </cell>
          <cell r="G353" t="str">
            <v>Creality</v>
          </cell>
          <cell r="H353" t="str">
            <v>3D打印机</v>
          </cell>
          <cell r="I353" t="str">
            <v>否</v>
          </cell>
          <cell r="J353" t="str">
            <v>否</v>
          </cell>
          <cell r="K353" t="str">
            <v>深圳积木易搭科技技术有限公司</v>
          </cell>
          <cell r="L353" t="str">
            <v/>
          </cell>
          <cell r="M353" t="str">
            <v>2024-01-22 11:10:03</v>
          </cell>
          <cell r="N353" t="str">
            <v>2024-03-13 18:43:51</v>
          </cell>
          <cell r="O353" t="str">
            <v>单涛</v>
          </cell>
          <cell r="P353" t="str">
            <v>单涛</v>
          </cell>
          <cell r="Q353" t="str">
            <v/>
          </cell>
          <cell r="R353" t="str">
            <v>否</v>
          </cell>
          <cell r="S353" t="str">
            <v/>
          </cell>
          <cell r="T353" t="str">
            <v/>
          </cell>
          <cell r="U353" t="str">
            <v/>
          </cell>
          <cell r="V353" t="str">
            <v/>
          </cell>
          <cell r="W353" t="str">
            <v/>
          </cell>
          <cell r="X353" t="str">
            <v/>
          </cell>
          <cell r="Y353" t="str">
            <v>2010700163</v>
          </cell>
          <cell r="Z353" t="str">
            <v>Ender-3 V3 SE</v>
          </cell>
          <cell r="AA353" t="str">
            <v>6971636403623</v>
          </cell>
          <cell r="AB353">
            <v>58</v>
          </cell>
          <cell r="AC353">
            <v>39</v>
          </cell>
          <cell r="AD353">
            <v>24</v>
          </cell>
          <cell r="AE353">
            <v>54288</v>
          </cell>
          <cell r="AF353" t="str">
            <v>cm³</v>
          </cell>
          <cell r="AG353">
            <v>9.2</v>
          </cell>
          <cell r="AH353" t="str">
            <v>kg</v>
          </cell>
          <cell r="AI353">
            <v>149.25</v>
          </cell>
          <cell r="AJ353" t="str">
            <v>8485200000</v>
          </cell>
          <cell r="AK353" t="str">
            <v>1PCS/CTN</v>
          </cell>
        </row>
        <row r="354">
          <cell r="A354">
            <v>1040600063</v>
          </cell>
          <cell r="B354" t="str">
            <v>插头</v>
          </cell>
          <cell r="C354" t="str">
            <v/>
          </cell>
          <cell r="D354" t="str">
            <v>个</v>
          </cell>
          <cell r="E354" t="str">
            <v/>
          </cell>
          <cell r="F354" t="str">
            <v>插头-欧规插头/黑色（搭配CW1201000RE 电源适配器主体使用）</v>
          </cell>
          <cell r="G354" t="str">
            <v/>
          </cell>
          <cell r="H354" t="str">
            <v>三维扫描仪备品备件</v>
          </cell>
          <cell r="I354" t="str">
            <v>否</v>
          </cell>
          <cell r="J354" t="str">
            <v>否</v>
          </cell>
          <cell r="K354" t="str">
            <v>深圳积木易搭科技技术有限公司</v>
          </cell>
          <cell r="L354" t="str">
            <v/>
          </cell>
          <cell r="M354" t="str">
            <v>2024-01-17 10:04:21</v>
          </cell>
          <cell r="N354" t="str">
            <v>2024-01-17 10:04:21</v>
          </cell>
          <cell r="O354" t="str">
            <v>单涛</v>
          </cell>
          <cell r="P354" t="str">
            <v/>
          </cell>
          <cell r="Q354" t="str">
            <v/>
          </cell>
          <cell r="R354" t="str">
            <v>否</v>
          </cell>
          <cell r="S354" t="str">
            <v/>
          </cell>
          <cell r="T354" t="str">
            <v/>
          </cell>
          <cell r="U354" t="str">
            <v/>
          </cell>
          <cell r="V354" t="str">
            <v/>
          </cell>
          <cell r="W354" t="str">
            <v/>
          </cell>
          <cell r="X354" t="str">
            <v/>
          </cell>
          <cell r="Y354" t="str">
            <v>1040600063</v>
          </cell>
          <cell r="Z354" t="str">
            <v>-</v>
          </cell>
          <cell r="AA354" t="str">
            <v/>
          </cell>
          <cell r="AB354" t="str">
            <v/>
          </cell>
          <cell r="AC354" t="str">
            <v/>
          </cell>
          <cell r="AD354" t="str">
            <v/>
          </cell>
          <cell r="AE354" t="str">
            <v/>
          </cell>
          <cell r="AF354" t="str">
            <v/>
          </cell>
          <cell r="AG354" t="str">
            <v/>
          </cell>
          <cell r="AH354" t="str">
            <v/>
          </cell>
          <cell r="AI354" t="str">
            <v/>
          </cell>
          <cell r="AJ354" t="str">
            <v/>
          </cell>
          <cell r="AK354" t="str">
            <v/>
          </cell>
        </row>
        <row r="355">
          <cell r="A355">
            <v>1040600011</v>
          </cell>
          <cell r="B355" t="str">
            <v>低配一体线缆</v>
          </cell>
          <cell r="C355" t="str">
            <v>Cable</v>
          </cell>
          <cell r="D355" t="str">
            <v>根</v>
          </cell>
          <cell r="E355" t="str">
            <v/>
          </cell>
          <cell r="F355" t="str">
            <v>低配一体线缆</v>
          </cell>
          <cell r="G355" t="str">
            <v/>
          </cell>
          <cell r="H355" t="str">
            <v>三维扫描仪备品备件</v>
          </cell>
          <cell r="I355" t="str">
            <v>否</v>
          </cell>
          <cell r="J355" t="str">
            <v>否</v>
          </cell>
          <cell r="K355" t="str">
            <v>深圳积木易搭科技技术有限公司</v>
          </cell>
          <cell r="L355" t="str">
            <v/>
          </cell>
          <cell r="M355" t="str">
            <v>2024-01-10 15:07:24</v>
          </cell>
          <cell r="N355" t="str">
            <v>2024-01-10 15:07:24</v>
          </cell>
          <cell r="O355" t="str">
            <v>单涛</v>
          </cell>
          <cell r="P355" t="str">
            <v/>
          </cell>
          <cell r="Q355" t="str">
            <v/>
          </cell>
          <cell r="R355" t="str">
            <v>否</v>
          </cell>
          <cell r="S355" t="str">
            <v/>
          </cell>
          <cell r="T355" t="str">
            <v/>
          </cell>
          <cell r="U355" t="str">
            <v/>
          </cell>
          <cell r="V355" t="str">
            <v/>
          </cell>
          <cell r="W355" t="str">
            <v/>
          </cell>
          <cell r="X355" t="str">
            <v/>
          </cell>
          <cell r="Y355" t="str">
            <v>1040600011</v>
          </cell>
          <cell r="Z355" t="str">
            <v>-</v>
          </cell>
          <cell r="AA355" t="str">
            <v/>
          </cell>
          <cell r="AB355" t="str">
            <v/>
          </cell>
          <cell r="AC355" t="str">
            <v/>
          </cell>
          <cell r="AD355" t="str">
            <v/>
          </cell>
          <cell r="AE355" t="str">
            <v/>
          </cell>
          <cell r="AF355" t="str">
            <v/>
          </cell>
          <cell r="AG355" t="str">
            <v/>
          </cell>
          <cell r="AH355" t="str">
            <v/>
          </cell>
          <cell r="AI355" t="str">
            <v/>
          </cell>
          <cell r="AJ355" t="str">
            <v/>
          </cell>
          <cell r="AK355" t="str">
            <v/>
          </cell>
        </row>
        <row r="356">
          <cell r="A356">
            <v>1070100008</v>
          </cell>
          <cell r="B356" t="str">
            <v>3M宽双面胶</v>
          </cell>
          <cell r="C356" t="str">
            <v/>
          </cell>
          <cell r="D356" t="str">
            <v>卷</v>
          </cell>
          <cell r="E356" t="str">
            <v/>
          </cell>
          <cell r="F356" t="str">
            <v>9448A 50mmx50m透明白色/50m</v>
          </cell>
          <cell r="G356" t="str">
            <v>3DMakerpro</v>
          </cell>
          <cell r="H356" t="str">
            <v>其它物料</v>
          </cell>
          <cell r="I356" t="str">
            <v>否</v>
          </cell>
          <cell r="J356" t="str">
            <v>否</v>
          </cell>
          <cell r="K356" t="str">
            <v>深圳积木易搭科技技术有限公司</v>
          </cell>
          <cell r="L356" t="str">
            <v/>
          </cell>
          <cell r="M356" t="str">
            <v>2023-12-27 17:17:18</v>
          </cell>
          <cell r="N356" t="str">
            <v>2023-12-27 17:17:18</v>
          </cell>
          <cell r="O356" t="str">
            <v>单涛</v>
          </cell>
          <cell r="P356" t="str">
            <v/>
          </cell>
          <cell r="Q356" t="str">
            <v/>
          </cell>
          <cell r="R356" t="str">
            <v>否</v>
          </cell>
          <cell r="S356" t="str">
            <v/>
          </cell>
          <cell r="T356" t="str">
            <v/>
          </cell>
          <cell r="U356" t="str">
            <v/>
          </cell>
          <cell r="V356" t="str">
            <v/>
          </cell>
          <cell r="W356" t="str">
            <v/>
          </cell>
          <cell r="X356" t="str">
            <v/>
          </cell>
          <cell r="Y356" t="str">
            <v>1070100008</v>
          </cell>
          <cell r="Z356" t="str">
            <v>-</v>
          </cell>
          <cell r="AA356" t="str">
            <v/>
          </cell>
          <cell r="AB356" t="str">
            <v/>
          </cell>
          <cell r="AC356" t="str">
            <v/>
          </cell>
          <cell r="AD356" t="str">
            <v/>
          </cell>
          <cell r="AE356" t="str">
            <v/>
          </cell>
          <cell r="AF356" t="str">
            <v/>
          </cell>
          <cell r="AG356" t="str">
            <v/>
          </cell>
          <cell r="AH356" t="str">
            <v/>
          </cell>
          <cell r="AI356" t="str">
            <v/>
          </cell>
          <cell r="AJ356" t="str">
            <v/>
          </cell>
          <cell r="AK356" t="str">
            <v/>
          </cell>
        </row>
        <row r="357">
          <cell r="A357">
            <v>1070100025</v>
          </cell>
          <cell r="B357" t="str">
            <v>摄影纸</v>
          </cell>
          <cell r="C357" t="str">
            <v/>
          </cell>
          <cell r="D357" t="str">
            <v>张</v>
          </cell>
          <cell r="E357" t="str">
            <v/>
          </cell>
          <cell r="F357" t="str">
            <v/>
          </cell>
          <cell r="G357" t="str">
            <v>3DMakerpro</v>
          </cell>
          <cell r="H357" t="str">
            <v>三维扫描仪备品备件</v>
          </cell>
          <cell r="I357" t="str">
            <v>否</v>
          </cell>
          <cell r="J357" t="str">
            <v>否</v>
          </cell>
          <cell r="K357" t="str">
            <v>深圳积木易搭科技技术有限公司</v>
          </cell>
          <cell r="L357" t="str">
            <v/>
          </cell>
          <cell r="M357" t="str">
            <v>2023-12-27 17:15:25</v>
          </cell>
          <cell r="N357" t="str">
            <v>2023-12-27 17:15:25</v>
          </cell>
          <cell r="O357" t="str">
            <v>单涛</v>
          </cell>
          <cell r="P357" t="str">
            <v/>
          </cell>
          <cell r="Q357" t="str">
            <v/>
          </cell>
          <cell r="R357" t="str">
            <v>否</v>
          </cell>
          <cell r="S357" t="str">
            <v/>
          </cell>
          <cell r="T357" t="str">
            <v/>
          </cell>
          <cell r="U357" t="str">
            <v/>
          </cell>
          <cell r="V357" t="str">
            <v/>
          </cell>
          <cell r="W357" t="str">
            <v/>
          </cell>
          <cell r="X357" t="str">
            <v/>
          </cell>
          <cell r="Y357" t="str">
            <v>1070100025</v>
          </cell>
          <cell r="Z357" t="str">
            <v>-</v>
          </cell>
          <cell r="AA357" t="str">
            <v/>
          </cell>
          <cell r="AB357" t="str">
            <v/>
          </cell>
          <cell r="AC357" t="str">
            <v/>
          </cell>
          <cell r="AD357" t="str">
            <v/>
          </cell>
          <cell r="AE357" t="str">
            <v/>
          </cell>
          <cell r="AF357" t="str">
            <v/>
          </cell>
          <cell r="AG357" t="str">
            <v/>
          </cell>
          <cell r="AH357" t="str">
            <v/>
          </cell>
          <cell r="AI357" t="str">
            <v/>
          </cell>
          <cell r="AJ357" t="str">
            <v/>
          </cell>
          <cell r="AK357" t="str">
            <v/>
          </cell>
        </row>
        <row r="358">
          <cell r="A358">
            <v>1040600007</v>
          </cell>
          <cell r="B358" t="str">
            <v>中配美规插头中配黑色</v>
          </cell>
          <cell r="C358" t="str">
            <v/>
          </cell>
          <cell r="D358" t="str">
            <v>个</v>
          </cell>
          <cell r="E358" t="str">
            <v/>
          </cell>
          <cell r="F358" t="str">
            <v>中配美规插头中配黑色</v>
          </cell>
          <cell r="G358" t="str">
            <v>3DMakerpro</v>
          </cell>
          <cell r="H358" t="str">
            <v>其它物料</v>
          </cell>
          <cell r="I358" t="str">
            <v>否</v>
          </cell>
          <cell r="J358" t="str">
            <v>否</v>
          </cell>
          <cell r="K358" t="str">
            <v>深圳积木易搭科技技术有限公司</v>
          </cell>
          <cell r="L358" t="str">
            <v/>
          </cell>
          <cell r="M358" t="str">
            <v>2023-12-19 15:13:19</v>
          </cell>
          <cell r="N358" t="str">
            <v>2023-12-19 15:13:19</v>
          </cell>
          <cell r="O358" t="str">
            <v>单涛</v>
          </cell>
          <cell r="P358" t="str">
            <v/>
          </cell>
          <cell r="Q358" t="str">
            <v/>
          </cell>
          <cell r="R358" t="str">
            <v>否</v>
          </cell>
          <cell r="S358" t="str">
            <v/>
          </cell>
          <cell r="T358" t="str">
            <v/>
          </cell>
          <cell r="U358" t="str">
            <v/>
          </cell>
          <cell r="V358" t="str">
            <v/>
          </cell>
          <cell r="W358" t="str">
            <v/>
          </cell>
          <cell r="X358" t="str">
            <v/>
          </cell>
          <cell r="Y358" t="str">
            <v>1040600007</v>
          </cell>
          <cell r="Z358" t="str">
            <v>-</v>
          </cell>
          <cell r="AA358" t="str">
            <v/>
          </cell>
          <cell r="AB358" t="str">
            <v/>
          </cell>
          <cell r="AC358" t="str">
            <v/>
          </cell>
          <cell r="AD358" t="str">
            <v/>
          </cell>
          <cell r="AE358" t="str">
            <v/>
          </cell>
          <cell r="AF358" t="str">
            <v/>
          </cell>
          <cell r="AG358" t="str">
            <v/>
          </cell>
          <cell r="AH358" t="str">
            <v/>
          </cell>
          <cell r="AI358" t="str">
            <v/>
          </cell>
          <cell r="AJ358" t="str">
            <v/>
          </cell>
          <cell r="AK358" t="str">
            <v/>
          </cell>
        </row>
        <row r="359">
          <cell r="A359">
            <v>1040600005</v>
          </cell>
          <cell r="B359" t="str">
            <v>中配电源适配器中配</v>
          </cell>
          <cell r="C359" t="str">
            <v/>
          </cell>
          <cell r="D359" t="str">
            <v>个</v>
          </cell>
          <cell r="E359" t="str">
            <v/>
          </cell>
          <cell r="F359" t="str">
            <v>中配电源适配器中配</v>
          </cell>
          <cell r="G359" t="str">
            <v>3DMakerpro</v>
          </cell>
          <cell r="H359" t="str">
            <v>其它物料</v>
          </cell>
          <cell r="I359" t="str">
            <v>否</v>
          </cell>
          <cell r="J359" t="str">
            <v>否</v>
          </cell>
          <cell r="K359" t="str">
            <v>深圳积木易搭科技技术有限公司</v>
          </cell>
          <cell r="L359" t="str">
            <v/>
          </cell>
          <cell r="M359" t="str">
            <v>2023-12-19 15:11:46</v>
          </cell>
          <cell r="N359" t="str">
            <v>2023-12-19 15:11:46</v>
          </cell>
          <cell r="O359" t="str">
            <v>单涛</v>
          </cell>
          <cell r="P359" t="str">
            <v/>
          </cell>
          <cell r="Q359" t="str">
            <v/>
          </cell>
          <cell r="R359" t="str">
            <v>否</v>
          </cell>
          <cell r="S359" t="str">
            <v/>
          </cell>
          <cell r="T359" t="str">
            <v/>
          </cell>
          <cell r="U359" t="str">
            <v/>
          </cell>
          <cell r="V359" t="str">
            <v/>
          </cell>
          <cell r="W359" t="str">
            <v/>
          </cell>
          <cell r="X359" t="str">
            <v/>
          </cell>
          <cell r="Y359" t="str">
            <v>1040600005</v>
          </cell>
          <cell r="Z359" t="str">
            <v>-</v>
          </cell>
          <cell r="AA359" t="str">
            <v/>
          </cell>
          <cell r="AB359" t="str">
            <v/>
          </cell>
          <cell r="AC359" t="str">
            <v/>
          </cell>
          <cell r="AD359" t="str">
            <v/>
          </cell>
          <cell r="AE359" t="str">
            <v/>
          </cell>
          <cell r="AF359" t="str">
            <v/>
          </cell>
          <cell r="AG359" t="str">
            <v/>
          </cell>
          <cell r="AH359" t="str">
            <v/>
          </cell>
          <cell r="AI359" t="str">
            <v/>
          </cell>
          <cell r="AJ359" t="str">
            <v/>
          </cell>
          <cell r="AK359" t="str">
            <v/>
          </cell>
        </row>
        <row r="360">
          <cell r="A360">
            <v>1081100014</v>
          </cell>
          <cell r="B360" t="str">
            <v>产品合格证</v>
          </cell>
          <cell r="C360" t="str">
            <v/>
          </cell>
          <cell r="D360" t="str">
            <v>个</v>
          </cell>
          <cell r="E360" t="str">
            <v/>
          </cell>
          <cell r="F360" t="str">
            <v>JMYD(三角形)</v>
          </cell>
          <cell r="G360" t="str">
            <v>3DMakerpro</v>
          </cell>
          <cell r="H360" t="str">
            <v>其它物料</v>
          </cell>
          <cell r="I360" t="str">
            <v>否</v>
          </cell>
          <cell r="J360" t="str">
            <v>否</v>
          </cell>
          <cell r="K360" t="str">
            <v>深圳积木易搭科技技术有限公司</v>
          </cell>
          <cell r="L360" t="str">
            <v/>
          </cell>
          <cell r="M360" t="str">
            <v>2023-12-19 11:31:58</v>
          </cell>
          <cell r="N360" t="str">
            <v>2023-12-19 11:31:58</v>
          </cell>
          <cell r="O360" t="str">
            <v>单涛</v>
          </cell>
          <cell r="P360" t="str">
            <v/>
          </cell>
          <cell r="Q360" t="str">
            <v/>
          </cell>
          <cell r="R360" t="str">
            <v>否</v>
          </cell>
          <cell r="S360" t="str">
            <v/>
          </cell>
          <cell r="T360" t="str">
            <v/>
          </cell>
          <cell r="U360" t="str">
            <v/>
          </cell>
          <cell r="V360" t="str">
            <v/>
          </cell>
          <cell r="W360" t="str">
            <v/>
          </cell>
          <cell r="X360" t="str">
            <v/>
          </cell>
          <cell r="Y360" t="str">
            <v>1081100014</v>
          </cell>
          <cell r="Z360" t="str">
            <v>-</v>
          </cell>
          <cell r="AA360" t="str">
            <v/>
          </cell>
          <cell r="AB360" t="str">
            <v/>
          </cell>
          <cell r="AC360" t="str">
            <v/>
          </cell>
          <cell r="AD360" t="str">
            <v/>
          </cell>
          <cell r="AE360" t="str">
            <v/>
          </cell>
          <cell r="AF360" t="str">
            <v/>
          </cell>
          <cell r="AG360" t="str">
            <v/>
          </cell>
          <cell r="AH360" t="str">
            <v/>
          </cell>
          <cell r="AI360" t="str">
            <v/>
          </cell>
          <cell r="AJ360" t="str">
            <v/>
          </cell>
          <cell r="AK360" t="str">
            <v/>
          </cell>
        </row>
        <row r="361">
          <cell r="A361">
            <v>1081100013</v>
          </cell>
          <cell r="B361" t="str">
            <v>whale 说明书</v>
          </cell>
          <cell r="C361" t="str">
            <v/>
          </cell>
          <cell r="D361" t="str">
            <v>本</v>
          </cell>
          <cell r="E361" t="str">
            <v/>
          </cell>
          <cell r="F361" t="str">
            <v>英文/V1.1</v>
          </cell>
          <cell r="G361" t="str">
            <v>3DMakerpro</v>
          </cell>
          <cell r="H361" t="str">
            <v>三维扫描仪-CN</v>
          </cell>
          <cell r="I361" t="str">
            <v>否</v>
          </cell>
          <cell r="J361" t="str">
            <v>否</v>
          </cell>
          <cell r="K361" t="str">
            <v>深圳积木易搭科技技术有限公司</v>
          </cell>
          <cell r="L361" t="str">
            <v/>
          </cell>
          <cell r="M361" t="str">
            <v>2023-12-19 11:31:00</v>
          </cell>
          <cell r="N361" t="str">
            <v>2023-12-19 11:31:00</v>
          </cell>
          <cell r="O361" t="str">
            <v>单涛</v>
          </cell>
          <cell r="P361" t="str">
            <v/>
          </cell>
          <cell r="Q361" t="str">
            <v/>
          </cell>
          <cell r="R361" t="str">
            <v>否</v>
          </cell>
          <cell r="S361" t="str">
            <v/>
          </cell>
          <cell r="T361" t="str">
            <v/>
          </cell>
          <cell r="U361" t="str">
            <v/>
          </cell>
          <cell r="V361" t="str">
            <v/>
          </cell>
          <cell r="W361" t="str">
            <v/>
          </cell>
          <cell r="X361" t="str">
            <v/>
          </cell>
          <cell r="Y361" t="str">
            <v>1081100013</v>
          </cell>
          <cell r="Z361" t="str">
            <v>-</v>
          </cell>
          <cell r="AA361" t="str">
            <v/>
          </cell>
          <cell r="AB361" t="str">
            <v/>
          </cell>
          <cell r="AC361" t="str">
            <v/>
          </cell>
          <cell r="AD361" t="str">
            <v/>
          </cell>
          <cell r="AE361" t="str">
            <v/>
          </cell>
          <cell r="AF361" t="str">
            <v/>
          </cell>
          <cell r="AG361" t="str">
            <v/>
          </cell>
          <cell r="AH361" t="str">
            <v/>
          </cell>
          <cell r="AI361" t="str">
            <v/>
          </cell>
          <cell r="AJ361" t="str">
            <v/>
          </cell>
          <cell r="AK361" t="str">
            <v/>
          </cell>
        </row>
        <row r="362">
          <cell r="A362">
            <v>1050200004</v>
          </cell>
          <cell r="B362" t="str">
            <v>U 盘</v>
          </cell>
          <cell r="C362" t="str">
            <v/>
          </cell>
          <cell r="D362" t="str">
            <v>台</v>
          </cell>
          <cell r="E362" t="str">
            <v/>
          </cell>
          <cell r="F362" t="str">
            <v>U196 8G/带3d makerpro logo</v>
          </cell>
          <cell r="G362" t="str">
            <v>3DMakerpro</v>
          </cell>
          <cell r="H362" t="str">
            <v>其它物料</v>
          </cell>
          <cell r="I362" t="str">
            <v>否</v>
          </cell>
          <cell r="J362" t="str">
            <v>否</v>
          </cell>
          <cell r="K362" t="str">
            <v>深圳积木易搭科技技术有限公司</v>
          </cell>
          <cell r="L362" t="str">
            <v/>
          </cell>
          <cell r="M362" t="str">
            <v>2023-12-19 11:29:41</v>
          </cell>
          <cell r="N362" t="str">
            <v>2023-12-19 11:29:41</v>
          </cell>
          <cell r="O362" t="str">
            <v>单涛</v>
          </cell>
          <cell r="P362" t="str">
            <v/>
          </cell>
          <cell r="Q362" t="str">
            <v/>
          </cell>
          <cell r="R362" t="str">
            <v>否</v>
          </cell>
          <cell r="S362" t="str">
            <v/>
          </cell>
          <cell r="T362" t="str">
            <v/>
          </cell>
          <cell r="U362" t="str">
            <v/>
          </cell>
          <cell r="V362" t="str">
            <v/>
          </cell>
          <cell r="W362" t="str">
            <v/>
          </cell>
          <cell r="X362" t="str">
            <v/>
          </cell>
          <cell r="Y362" t="str">
            <v>1050200004</v>
          </cell>
          <cell r="Z362" t="str">
            <v>-</v>
          </cell>
          <cell r="AA362" t="str">
            <v/>
          </cell>
          <cell r="AB362" t="str">
            <v/>
          </cell>
          <cell r="AC362" t="str">
            <v/>
          </cell>
          <cell r="AD362" t="str">
            <v/>
          </cell>
          <cell r="AE362" t="str">
            <v/>
          </cell>
          <cell r="AF362" t="str">
            <v/>
          </cell>
          <cell r="AG362" t="str">
            <v/>
          </cell>
          <cell r="AH362" t="str">
            <v/>
          </cell>
          <cell r="AI362" t="str">
            <v/>
          </cell>
          <cell r="AJ362" t="str">
            <v/>
          </cell>
          <cell r="AK362" t="str">
            <v/>
          </cell>
        </row>
        <row r="363">
          <cell r="A363">
            <v>1200100036</v>
          </cell>
          <cell r="B363" t="str">
            <v>三维扫描仪Magic Swift Plus 整机(黑白)</v>
          </cell>
          <cell r="C363" t="str">
            <v>3D Scanner  Magic Swift</v>
          </cell>
          <cell r="D363" t="str">
            <v>台</v>
          </cell>
          <cell r="E363" t="str">
            <v/>
          </cell>
          <cell r="F363" t="str">
            <v>Magic Swift Plus 整机（黑白）</v>
          </cell>
          <cell r="G363" t="str">
            <v>3DMakerpro</v>
          </cell>
          <cell r="H363" t="str">
            <v>三维扫描仪备品备件</v>
          </cell>
          <cell r="I363" t="str">
            <v>否</v>
          </cell>
          <cell r="J363" t="str">
            <v>否</v>
          </cell>
          <cell r="K363" t="str">
            <v>深圳积木易搭科技技术有限公司</v>
          </cell>
          <cell r="L363" t="str">
            <v/>
          </cell>
          <cell r="M363" t="str">
            <v>2023-12-15 13:56:27</v>
          </cell>
          <cell r="N363" t="str">
            <v>2025-01-14 13:57:52</v>
          </cell>
          <cell r="O363" t="str">
            <v>单涛</v>
          </cell>
          <cell r="P363" t="str">
            <v>单涛</v>
          </cell>
          <cell r="Q363" t="str">
            <v/>
          </cell>
          <cell r="R363" t="str">
            <v>否</v>
          </cell>
          <cell r="S363" t="str">
            <v/>
          </cell>
          <cell r="T363" t="str">
            <v/>
          </cell>
          <cell r="U363" t="str">
            <v/>
          </cell>
          <cell r="V363" t="str">
            <v/>
          </cell>
          <cell r="W363" t="str">
            <v/>
          </cell>
          <cell r="X363" t="str">
            <v/>
          </cell>
          <cell r="Y363" t="str">
            <v>1200100036</v>
          </cell>
          <cell r="Z363" t="str">
            <v>JMSM</v>
          </cell>
          <cell r="AA363" t="str">
            <v/>
          </cell>
          <cell r="AB363" t="str">
            <v/>
          </cell>
          <cell r="AC363" t="str">
            <v/>
          </cell>
          <cell r="AD363" t="str">
            <v/>
          </cell>
          <cell r="AE363" t="str">
            <v/>
          </cell>
          <cell r="AF363" t="str">
            <v/>
          </cell>
          <cell r="AG363" t="str">
            <v/>
          </cell>
          <cell r="AH363" t="str">
            <v/>
          </cell>
          <cell r="AI363" t="str">
            <v/>
          </cell>
          <cell r="AJ363" t="str">
            <v>9031499000</v>
          </cell>
          <cell r="AK363" t="str">
            <v/>
          </cell>
        </row>
        <row r="364">
          <cell r="A364">
            <v>1040600059</v>
          </cell>
          <cell r="B364" t="str">
            <v>插头</v>
          </cell>
          <cell r="C364" t="str">
            <v/>
          </cell>
          <cell r="D364" t="str">
            <v>个</v>
          </cell>
          <cell r="E364" t="str">
            <v/>
          </cell>
          <cell r="F364" t="str">
            <v>插头</v>
          </cell>
          <cell r="G364" t="str">
            <v>3DMakerpro</v>
          </cell>
          <cell r="H364" t="str">
            <v>三维扫描仪备品备件</v>
          </cell>
          <cell r="I364" t="str">
            <v>否</v>
          </cell>
          <cell r="J364" t="str">
            <v>否</v>
          </cell>
          <cell r="K364" t="str">
            <v>深圳积木易搭科技技术有限公司</v>
          </cell>
          <cell r="L364" t="str">
            <v/>
          </cell>
          <cell r="M364" t="str">
            <v>2023-12-01 16:30:40</v>
          </cell>
          <cell r="N364" t="str">
            <v>2023-12-01 16:30:40</v>
          </cell>
          <cell r="O364" t="str">
            <v>单涛</v>
          </cell>
          <cell r="P364" t="str">
            <v/>
          </cell>
          <cell r="Q364" t="str">
            <v/>
          </cell>
          <cell r="R364" t="str">
            <v>否</v>
          </cell>
          <cell r="S364" t="str">
            <v/>
          </cell>
          <cell r="T364" t="str">
            <v/>
          </cell>
          <cell r="U364" t="str">
            <v/>
          </cell>
          <cell r="V364" t="str">
            <v/>
          </cell>
          <cell r="W364" t="str">
            <v/>
          </cell>
          <cell r="X364" t="str">
            <v/>
          </cell>
          <cell r="Y364" t="str">
            <v>1040600059</v>
          </cell>
          <cell r="Z364" t="str">
            <v>-</v>
          </cell>
          <cell r="AA364" t="str">
            <v/>
          </cell>
          <cell r="AB364" t="str">
            <v/>
          </cell>
          <cell r="AC364" t="str">
            <v/>
          </cell>
          <cell r="AD364" t="str">
            <v/>
          </cell>
          <cell r="AE364" t="str">
            <v/>
          </cell>
          <cell r="AF364" t="str">
            <v/>
          </cell>
          <cell r="AG364" t="str">
            <v/>
          </cell>
          <cell r="AH364" t="str">
            <v/>
          </cell>
          <cell r="AI364" t="str">
            <v/>
          </cell>
          <cell r="AJ364" t="str">
            <v/>
          </cell>
          <cell r="AK364" t="str">
            <v/>
          </cell>
        </row>
        <row r="365">
          <cell r="A365">
            <v>1200100057</v>
          </cell>
          <cell r="B365" t="str">
            <v>三维扫描仪Mole整机</v>
          </cell>
          <cell r="C365" t="str">
            <v>3D Scanner Mole</v>
          </cell>
          <cell r="D365" t="str">
            <v>台</v>
          </cell>
          <cell r="E365" t="str">
            <v/>
          </cell>
          <cell r="F365" t="str">
            <v>Mole整机</v>
          </cell>
          <cell r="G365" t="str">
            <v>3DMakerpro</v>
          </cell>
          <cell r="H365" t="str">
            <v>三维扫描仪备品备件</v>
          </cell>
          <cell r="I365" t="str">
            <v>否</v>
          </cell>
          <cell r="J365" t="str">
            <v>否</v>
          </cell>
          <cell r="K365" t="str">
            <v>深圳积木易搭科技技术有限公司</v>
          </cell>
          <cell r="L365" t="str">
            <v/>
          </cell>
          <cell r="M365" t="str">
            <v>2023-11-28 11:38:05</v>
          </cell>
          <cell r="N365" t="str">
            <v>2025-01-14 13:57:59</v>
          </cell>
          <cell r="O365" t="str">
            <v>单涛</v>
          </cell>
          <cell r="P365" t="str">
            <v>单涛</v>
          </cell>
          <cell r="Q365" t="str">
            <v/>
          </cell>
          <cell r="R365" t="str">
            <v>否</v>
          </cell>
          <cell r="S365" t="str">
            <v/>
          </cell>
          <cell r="T365" t="str">
            <v/>
          </cell>
          <cell r="U365" t="str">
            <v/>
          </cell>
          <cell r="V365" t="str">
            <v/>
          </cell>
          <cell r="W365" t="str">
            <v/>
          </cell>
          <cell r="X365" t="str">
            <v/>
          </cell>
          <cell r="Y365" t="str">
            <v>1200100057</v>
          </cell>
          <cell r="Z365" t="str">
            <v>JMM1</v>
          </cell>
          <cell r="AA365" t="str">
            <v/>
          </cell>
          <cell r="AB365" t="str">
            <v/>
          </cell>
          <cell r="AC365" t="str">
            <v/>
          </cell>
          <cell r="AD365" t="str">
            <v/>
          </cell>
          <cell r="AE365" t="str">
            <v/>
          </cell>
          <cell r="AF365" t="str">
            <v/>
          </cell>
          <cell r="AG365" t="str">
            <v/>
          </cell>
          <cell r="AH365" t="str">
            <v/>
          </cell>
          <cell r="AI365" t="str">
            <v/>
          </cell>
          <cell r="AJ365" t="str">
            <v>9031499000</v>
          </cell>
          <cell r="AK365" t="str">
            <v/>
          </cell>
        </row>
        <row r="366">
          <cell r="A366">
            <v>1080100018</v>
          </cell>
          <cell r="B366" t="str">
            <v>空白物流箱1#</v>
          </cell>
          <cell r="C366" t="str">
            <v/>
          </cell>
          <cell r="D366" t="str">
            <v>个</v>
          </cell>
          <cell r="E366" t="str">
            <v/>
          </cell>
          <cell r="F366" t="str">
            <v/>
          </cell>
          <cell r="G366" t="str">
            <v/>
          </cell>
          <cell r="H366" t="str">
            <v>其它物料</v>
          </cell>
          <cell r="I366" t="str">
            <v>否</v>
          </cell>
          <cell r="J366" t="str">
            <v>否</v>
          </cell>
          <cell r="K366" t="str">
            <v>深圳积木易搭科技技术有限公司</v>
          </cell>
          <cell r="L366" t="str">
            <v/>
          </cell>
          <cell r="M366" t="str">
            <v>2023-11-27 14:50:19</v>
          </cell>
          <cell r="N366" t="str">
            <v>2023-11-27 14:50:19</v>
          </cell>
          <cell r="O366" t="str">
            <v>单涛</v>
          </cell>
          <cell r="P366" t="str">
            <v/>
          </cell>
          <cell r="Q366" t="str">
            <v/>
          </cell>
          <cell r="R366" t="str">
            <v>否</v>
          </cell>
          <cell r="S366" t="str">
            <v/>
          </cell>
          <cell r="T366" t="str">
            <v/>
          </cell>
          <cell r="U366" t="str">
            <v/>
          </cell>
          <cell r="V366" t="str">
            <v/>
          </cell>
          <cell r="W366" t="str">
            <v/>
          </cell>
          <cell r="X366" t="str">
            <v/>
          </cell>
          <cell r="Y366" t="str">
            <v>1080100018</v>
          </cell>
          <cell r="Z366" t="str">
            <v>-</v>
          </cell>
          <cell r="AA366" t="str">
            <v/>
          </cell>
          <cell r="AB366" t="str">
            <v/>
          </cell>
          <cell r="AC366" t="str">
            <v/>
          </cell>
          <cell r="AD366" t="str">
            <v/>
          </cell>
          <cell r="AE366" t="str">
            <v/>
          </cell>
          <cell r="AF366" t="str">
            <v/>
          </cell>
          <cell r="AG366" t="str">
            <v/>
          </cell>
          <cell r="AH366" t="str">
            <v/>
          </cell>
          <cell r="AI366" t="str">
            <v/>
          </cell>
          <cell r="AJ366" t="str">
            <v/>
          </cell>
          <cell r="AK366" t="str">
            <v/>
          </cell>
        </row>
        <row r="367">
          <cell r="A367">
            <v>1080100006</v>
          </cell>
          <cell r="B367" t="str">
            <v>豪华款内箱</v>
          </cell>
          <cell r="C367" t="str">
            <v/>
          </cell>
          <cell r="D367" t="str">
            <v>个</v>
          </cell>
          <cell r="E367" t="str">
            <v/>
          </cell>
          <cell r="F367" t="str">
            <v/>
          </cell>
          <cell r="G367" t="str">
            <v/>
          </cell>
          <cell r="H367" t="str">
            <v>其它物料</v>
          </cell>
          <cell r="I367" t="str">
            <v>否</v>
          </cell>
          <cell r="J367" t="str">
            <v>否</v>
          </cell>
          <cell r="K367" t="str">
            <v>深圳积木易搭科技技术有限公司</v>
          </cell>
          <cell r="L367" t="str">
            <v/>
          </cell>
          <cell r="M367" t="str">
            <v>2023-11-27 14:49:50</v>
          </cell>
          <cell r="N367" t="str">
            <v>2023-11-27 14:49:50</v>
          </cell>
          <cell r="O367" t="str">
            <v>单涛</v>
          </cell>
          <cell r="P367" t="str">
            <v/>
          </cell>
          <cell r="Q367" t="str">
            <v/>
          </cell>
          <cell r="R367" t="str">
            <v>否</v>
          </cell>
          <cell r="S367" t="str">
            <v/>
          </cell>
          <cell r="T367" t="str">
            <v/>
          </cell>
          <cell r="U367" t="str">
            <v/>
          </cell>
          <cell r="V367" t="str">
            <v/>
          </cell>
          <cell r="W367" t="str">
            <v/>
          </cell>
          <cell r="X367" t="str">
            <v/>
          </cell>
          <cell r="Y367" t="str">
            <v>1080100006</v>
          </cell>
          <cell r="Z367" t="str">
            <v>-</v>
          </cell>
          <cell r="AA367" t="str">
            <v/>
          </cell>
          <cell r="AB367" t="str">
            <v/>
          </cell>
          <cell r="AC367" t="str">
            <v/>
          </cell>
          <cell r="AD367" t="str">
            <v/>
          </cell>
          <cell r="AE367" t="str">
            <v/>
          </cell>
          <cell r="AF367" t="str">
            <v/>
          </cell>
          <cell r="AG367" t="str">
            <v/>
          </cell>
          <cell r="AH367" t="str">
            <v/>
          </cell>
          <cell r="AI367" t="str">
            <v/>
          </cell>
          <cell r="AJ367" t="str">
            <v/>
          </cell>
          <cell r="AK367" t="str">
            <v/>
          </cell>
        </row>
        <row r="368">
          <cell r="A368">
            <v>1080100005</v>
          </cell>
          <cell r="B368" t="str">
            <v>豪华套装扩展套件盒</v>
          </cell>
          <cell r="C368" t="str">
            <v/>
          </cell>
          <cell r="D368" t="str">
            <v>个</v>
          </cell>
          <cell r="E368" t="str">
            <v/>
          </cell>
          <cell r="F368" t="str">
            <v/>
          </cell>
          <cell r="G368" t="str">
            <v/>
          </cell>
          <cell r="H368" t="str">
            <v>其它物料</v>
          </cell>
          <cell r="I368" t="str">
            <v>否</v>
          </cell>
          <cell r="J368" t="str">
            <v>否</v>
          </cell>
          <cell r="K368" t="str">
            <v>深圳积木易搭科技技术有限公司</v>
          </cell>
          <cell r="L368" t="str">
            <v/>
          </cell>
          <cell r="M368" t="str">
            <v>2023-11-27 14:49:26</v>
          </cell>
          <cell r="N368" t="str">
            <v>2023-11-27 14:49:26</v>
          </cell>
          <cell r="O368" t="str">
            <v>单涛</v>
          </cell>
          <cell r="P368" t="str">
            <v/>
          </cell>
          <cell r="Q368" t="str">
            <v/>
          </cell>
          <cell r="R368" t="str">
            <v>否</v>
          </cell>
          <cell r="S368" t="str">
            <v/>
          </cell>
          <cell r="T368" t="str">
            <v/>
          </cell>
          <cell r="U368" t="str">
            <v/>
          </cell>
          <cell r="V368" t="str">
            <v/>
          </cell>
          <cell r="W368" t="str">
            <v/>
          </cell>
          <cell r="X368" t="str">
            <v/>
          </cell>
          <cell r="Y368" t="str">
            <v>1080100005</v>
          </cell>
          <cell r="Z368" t="str">
            <v>-</v>
          </cell>
          <cell r="AA368" t="str">
            <v/>
          </cell>
          <cell r="AB368" t="str">
            <v/>
          </cell>
          <cell r="AC368" t="str">
            <v/>
          </cell>
          <cell r="AD368" t="str">
            <v/>
          </cell>
          <cell r="AE368" t="str">
            <v/>
          </cell>
          <cell r="AF368" t="str">
            <v/>
          </cell>
          <cell r="AG368" t="str">
            <v/>
          </cell>
          <cell r="AH368" t="str">
            <v/>
          </cell>
          <cell r="AI368" t="str">
            <v/>
          </cell>
          <cell r="AJ368" t="str">
            <v/>
          </cell>
          <cell r="AK368" t="str">
            <v/>
          </cell>
        </row>
        <row r="369">
          <cell r="A369">
            <v>1040600012</v>
          </cell>
          <cell r="B369" t="str">
            <v>低配转台线缆</v>
          </cell>
          <cell r="C369" t="str">
            <v/>
          </cell>
          <cell r="D369" t="str">
            <v>根</v>
          </cell>
          <cell r="E369" t="str">
            <v/>
          </cell>
          <cell r="F369" t="str">
            <v/>
          </cell>
          <cell r="G369" t="str">
            <v/>
          </cell>
          <cell r="H369" t="str">
            <v>其它物料</v>
          </cell>
          <cell r="I369" t="str">
            <v>否</v>
          </cell>
          <cell r="J369" t="str">
            <v>否</v>
          </cell>
          <cell r="K369" t="str">
            <v>深圳积木易搭科技技术有限公司</v>
          </cell>
          <cell r="L369" t="str">
            <v/>
          </cell>
          <cell r="M369" t="str">
            <v>2023-11-27 14:48:19</v>
          </cell>
          <cell r="N369" t="str">
            <v>2024-03-18 14:19:20</v>
          </cell>
          <cell r="O369" t="str">
            <v>单涛</v>
          </cell>
          <cell r="P369" t="str">
            <v/>
          </cell>
          <cell r="Q369" t="str">
            <v/>
          </cell>
          <cell r="R369" t="str">
            <v>否</v>
          </cell>
          <cell r="S369" t="str">
            <v/>
          </cell>
          <cell r="T369" t="str">
            <v/>
          </cell>
          <cell r="U369" t="str">
            <v/>
          </cell>
          <cell r="V369" t="str">
            <v/>
          </cell>
          <cell r="W369" t="str">
            <v/>
          </cell>
          <cell r="X369" t="str">
            <v/>
          </cell>
          <cell r="Y369" t="str">
            <v>1040600012</v>
          </cell>
          <cell r="Z369" t="str">
            <v>-</v>
          </cell>
          <cell r="AA369" t="str">
            <v/>
          </cell>
          <cell r="AB369" t="str">
            <v/>
          </cell>
          <cell r="AC369" t="str">
            <v/>
          </cell>
          <cell r="AD369" t="str">
            <v/>
          </cell>
          <cell r="AE369" t="str">
            <v/>
          </cell>
          <cell r="AF369" t="str">
            <v/>
          </cell>
          <cell r="AG369" t="str">
            <v/>
          </cell>
          <cell r="AH369" t="str">
            <v/>
          </cell>
          <cell r="AI369" t="str">
            <v/>
          </cell>
          <cell r="AJ369" t="str">
            <v>8544421100</v>
          </cell>
          <cell r="AK369" t="str">
            <v/>
          </cell>
        </row>
        <row r="370">
          <cell r="A370">
            <v>1081500001</v>
          </cell>
          <cell r="B370" t="str">
            <v>干燥剂</v>
          </cell>
          <cell r="C370" t="str">
            <v/>
          </cell>
          <cell r="D370" t="str">
            <v>个</v>
          </cell>
          <cell r="E370" t="str">
            <v/>
          </cell>
          <cell r="F370" t="str">
            <v/>
          </cell>
          <cell r="G370" t="str">
            <v/>
          </cell>
          <cell r="H370" t="str">
            <v>其它物料</v>
          </cell>
          <cell r="I370" t="str">
            <v>否</v>
          </cell>
          <cell r="J370" t="str">
            <v>否</v>
          </cell>
          <cell r="K370" t="str">
            <v>深圳积木易搭科技技术有限公司</v>
          </cell>
          <cell r="L370" t="str">
            <v/>
          </cell>
          <cell r="M370" t="str">
            <v>2023-11-27 14:47:32</v>
          </cell>
          <cell r="N370" t="str">
            <v>2023-11-27 14:47:32</v>
          </cell>
          <cell r="O370" t="str">
            <v>单涛</v>
          </cell>
          <cell r="P370" t="str">
            <v/>
          </cell>
          <cell r="Q370" t="str">
            <v/>
          </cell>
          <cell r="R370" t="str">
            <v>否</v>
          </cell>
          <cell r="S370" t="str">
            <v/>
          </cell>
          <cell r="T370" t="str">
            <v/>
          </cell>
          <cell r="U370" t="str">
            <v/>
          </cell>
          <cell r="V370" t="str">
            <v/>
          </cell>
          <cell r="W370" t="str">
            <v/>
          </cell>
          <cell r="X370" t="str">
            <v/>
          </cell>
          <cell r="Y370" t="str">
            <v>1081500001</v>
          </cell>
          <cell r="Z370" t="str">
            <v>-</v>
          </cell>
          <cell r="AA370" t="str">
            <v/>
          </cell>
          <cell r="AB370" t="str">
            <v/>
          </cell>
          <cell r="AC370" t="str">
            <v/>
          </cell>
          <cell r="AD370" t="str">
            <v/>
          </cell>
          <cell r="AE370" t="str">
            <v/>
          </cell>
          <cell r="AF370" t="str">
            <v/>
          </cell>
          <cell r="AG370" t="str">
            <v/>
          </cell>
          <cell r="AH370" t="str">
            <v/>
          </cell>
          <cell r="AI370" t="str">
            <v/>
          </cell>
          <cell r="AJ370" t="str">
            <v/>
          </cell>
          <cell r="AK370" t="str">
            <v/>
          </cell>
        </row>
        <row r="371">
          <cell r="A371">
            <v>1081100004</v>
          </cell>
          <cell r="B371" t="str">
            <v>低配产品合格证</v>
          </cell>
          <cell r="C371" t="str">
            <v/>
          </cell>
          <cell r="D371" t="str">
            <v>个</v>
          </cell>
          <cell r="E371" t="str">
            <v/>
          </cell>
          <cell r="F371" t="str">
            <v/>
          </cell>
          <cell r="G371" t="str">
            <v/>
          </cell>
          <cell r="H371" t="str">
            <v>其它物料</v>
          </cell>
          <cell r="I371" t="str">
            <v>否</v>
          </cell>
          <cell r="J371" t="str">
            <v>否</v>
          </cell>
          <cell r="K371" t="str">
            <v>深圳积木易搭科技技术有限公司</v>
          </cell>
          <cell r="L371" t="str">
            <v/>
          </cell>
          <cell r="M371" t="str">
            <v>2023-11-27 14:46:42</v>
          </cell>
          <cell r="N371" t="str">
            <v>2023-11-27 14:46:42</v>
          </cell>
          <cell r="O371" t="str">
            <v>单涛</v>
          </cell>
          <cell r="P371" t="str">
            <v/>
          </cell>
          <cell r="Q371" t="str">
            <v/>
          </cell>
          <cell r="R371" t="str">
            <v>否</v>
          </cell>
          <cell r="S371" t="str">
            <v/>
          </cell>
          <cell r="T371" t="str">
            <v/>
          </cell>
          <cell r="U371" t="str">
            <v/>
          </cell>
          <cell r="V371" t="str">
            <v/>
          </cell>
          <cell r="W371" t="str">
            <v/>
          </cell>
          <cell r="X371" t="str">
            <v/>
          </cell>
          <cell r="Y371" t="str">
            <v>1081100004</v>
          </cell>
          <cell r="Z371" t="str">
            <v>-</v>
          </cell>
          <cell r="AA371" t="str">
            <v/>
          </cell>
          <cell r="AB371" t="str">
            <v/>
          </cell>
          <cell r="AC371" t="str">
            <v/>
          </cell>
          <cell r="AD371" t="str">
            <v/>
          </cell>
          <cell r="AE371" t="str">
            <v/>
          </cell>
          <cell r="AF371" t="str">
            <v/>
          </cell>
          <cell r="AG371" t="str">
            <v/>
          </cell>
          <cell r="AH371" t="str">
            <v/>
          </cell>
          <cell r="AI371" t="str">
            <v/>
          </cell>
          <cell r="AJ371" t="str">
            <v/>
          </cell>
          <cell r="AK371" t="str">
            <v/>
          </cell>
        </row>
        <row r="372">
          <cell r="A372">
            <v>1080500007</v>
          </cell>
          <cell r="B372" t="str">
            <v>海绵托</v>
          </cell>
          <cell r="C372" t="str">
            <v/>
          </cell>
          <cell r="D372" t="str">
            <v>个</v>
          </cell>
          <cell r="E372" t="str">
            <v/>
          </cell>
          <cell r="F372" t="str">
            <v/>
          </cell>
          <cell r="G372" t="str">
            <v/>
          </cell>
          <cell r="H372" t="str">
            <v>其它物料</v>
          </cell>
          <cell r="I372" t="str">
            <v>否</v>
          </cell>
          <cell r="J372" t="str">
            <v>否</v>
          </cell>
          <cell r="K372" t="str">
            <v>深圳积木易搭科技技术有限公司</v>
          </cell>
          <cell r="L372" t="str">
            <v/>
          </cell>
          <cell r="M372" t="str">
            <v>2023-11-27 14:45:40</v>
          </cell>
          <cell r="N372" t="str">
            <v>2023-11-27 14:45:40</v>
          </cell>
          <cell r="O372" t="str">
            <v>单涛</v>
          </cell>
          <cell r="P372" t="str">
            <v/>
          </cell>
          <cell r="Q372" t="str">
            <v/>
          </cell>
          <cell r="R372" t="str">
            <v>否</v>
          </cell>
          <cell r="S372" t="str">
            <v/>
          </cell>
          <cell r="T372" t="str">
            <v/>
          </cell>
          <cell r="U372" t="str">
            <v/>
          </cell>
          <cell r="V372" t="str">
            <v/>
          </cell>
          <cell r="W372" t="str">
            <v/>
          </cell>
          <cell r="X372" t="str">
            <v/>
          </cell>
          <cell r="Y372" t="str">
            <v>1080500007</v>
          </cell>
          <cell r="Z372" t="str">
            <v>-</v>
          </cell>
          <cell r="AA372" t="str">
            <v/>
          </cell>
          <cell r="AB372" t="str">
            <v/>
          </cell>
          <cell r="AC372" t="str">
            <v/>
          </cell>
          <cell r="AD372" t="str">
            <v/>
          </cell>
          <cell r="AE372" t="str">
            <v/>
          </cell>
          <cell r="AF372" t="str">
            <v/>
          </cell>
          <cell r="AG372" t="str">
            <v/>
          </cell>
          <cell r="AH372" t="str">
            <v/>
          </cell>
          <cell r="AI372" t="str">
            <v/>
          </cell>
          <cell r="AJ372" t="str">
            <v/>
          </cell>
          <cell r="AK372" t="str">
            <v/>
          </cell>
        </row>
        <row r="373">
          <cell r="A373">
            <v>1080700002</v>
          </cell>
          <cell r="B373" t="str">
            <v>低配主机袋(珍珠棉)</v>
          </cell>
          <cell r="C373" t="str">
            <v/>
          </cell>
          <cell r="D373" t="str">
            <v>个</v>
          </cell>
          <cell r="E373" t="str">
            <v/>
          </cell>
          <cell r="F373" t="str">
            <v/>
          </cell>
          <cell r="G373" t="str">
            <v/>
          </cell>
          <cell r="H373" t="str">
            <v>其它物料</v>
          </cell>
          <cell r="I373" t="str">
            <v>否</v>
          </cell>
          <cell r="J373" t="str">
            <v>否</v>
          </cell>
          <cell r="K373" t="str">
            <v>深圳积木易搭科技技术有限公司</v>
          </cell>
          <cell r="L373" t="str">
            <v/>
          </cell>
          <cell r="M373" t="str">
            <v>2023-11-27 14:44:41</v>
          </cell>
          <cell r="N373" t="str">
            <v>2023-11-27 14:44:41</v>
          </cell>
          <cell r="O373" t="str">
            <v>单涛</v>
          </cell>
          <cell r="P373" t="str">
            <v/>
          </cell>
          <cell r="Q373" t="str">
            <v/>
          </cell>
          <cell r="R373" t="str">
            <v>否</v>
          </cell>
          <cell r="S373" t="str">
            <v/>
          </cell>
          <cell r="T373" t="str">
            <v/>
          </cell>
          <cell r="U373" t="str">
            <v/>
          </cell>
          <cell r="V373" t="str">
            <v/>
          </cell>
          <cell r="W373" t="str">
            <v/>
          </cell>
          <cell r="X373" t="str">
            <v/>
          </cell>
          <cell r="Y373" t="str">
            <v>1080700002</v>
          </cell>
          <cell r="Z373" t="str">
            <v>-</v>
          </cell>
          <cell r="AA373" t="str">
            <v/>
          </cell>
          <cell r="AB373" t="str">
            <v/>
          </cell>
          <cell r="AC373" t="str">
            <v/>
          </cell>
          <cell r="AD373" t="str">
            <v/>
          </cell>
          <cell r="AE373" t="str">
            <v/>
          </cell>
          <cell r="AF373" t="str">
            <v/>
          </cell>
          <cell r="AG373" t="str">
            <v/>
          </cell>
          <cell r="AH373" t="str">
            <v/>
          </cell>
          <cell r="AI373" t="str">
            <v/>
          </cell>
          <cell r="AJ373" t="str">
            <v/>
          </cell>
          <cell r="AK373" t="str">
            <v/>
          </cell>
        </row>
        <row r="374">
          <cell r="A374">
            <v>1040600016</v>
          </cell>
          <cell r="B374" t="str">
            <v>低配两座插头</v>
          </cell>
          <cell r="C374" t="str">
            <v/>
          </cell>
          <cell r="D374" t="str">
            <v>个</v>
          </cell>
          <cell r="E374" t="str">
            <v/>
          </cell>
          <cell r="F374" t="str">
            <v/>
          </cell>
          <cell r="G374" t="str">
            <v/>
          </cell>
          <cell r="H374" t="str">
            <v>其它物料</v>
          </cell>
          <cell r="I374" t="str">
            <v>否</v>
          </cell>
          <cell r="J374" t="str">
            <v>否</v>
          </cell>
          <cell r="K374" t="str">
            <v>深圳积木易搭科技技术有限公司</v>
          </cell>
          <cell r="L374" t="str">
            <v/>
          </cell>
          <cell r="M374" t="str">
            <v>2023-11-27 14:43:27</v>
          </cell>
          <cell r="N374" t="str">
            <v>2023-11-27 14:43:27</v>
          </cell>
          <cell r="O374" t="str">
            <v>单涛</v>
          </cell>
          <cell r="P374" t="str">
            <v/>
          </cell>
          <cell r="Q374" t="str">
            <v/>
          </cell>
          <cell r="R374" t="str">
            <v>否</v>
          </cell>
          <cell r="S374" t="str">
            <v/>
          </cell>
          <cell r="T374" t="str">
            <v/>
          </cell>
          <cell r="U374" t="str">
            <v/>
          </cell>
          <cell r="V374" t="str">
            <v/>
          </cell>
          <cell r="W374" t="str">
            <v/>
          </cell>
          <cell r="X374" t="str">
            <v/>
          </cell>
          <cell r="Y374" t="str">
            <v>1040600016</v>
          </cell>
          <cell r="Z374" t="str">
            <v>-</v>
          </cell>
          <cell r="AA374" t="str">
            <v/>
          </cell>
          <cell r="AB374" t="str">
            <v/>
          </cell>
          <cell r="AC374" t="str">
            <v/>
          </cell>
          <cell r="AD374" t="str">
            <v/>
          </cell>
          <cell r="AE374" t="str">
            <v/>
          </cell>
          <cell r="AF374" t="str">
            <v/>
          </cell>
          <cell r="AG374" t="str">
            <v/>
          </cell>
          <cell r="AH374" t="str">
            <v/>
          </cell>
          <cell r="AI374" t="str">
            <v/>
          </cell>
          <cell r="AJ374" t="str">
            <v/>
          </cell>
          <cell r="AK374" t="str">
            <v/>
          </cell>
        </row>
        <row r="375">
          <cell r="A375" t="str">
            <v>1081100005B</v>
          </cell>
          <cell r="B375" t="str">
            <v>Lizard说明书</v>
          </cell>
          <cell r="C375" t="str">
            <v/>
          </cell>
          <cell r="D375" t="str">
            <v>套</v>
          </cell>
          <cell r="E375" t="str">
            <v/>
          </cell>
          <cell r="F375" t="str">
            <v/>
          </cell>
          <cell r="G375" t="str">
            <v/>
          </cell>
          <cell r="H375" t="str">
            <v>其它物料</v>
          </cell>
          <cell r="I375" t="str">
            <v>否</v>
          </cell>
          <cell r="J375" t="str">
            <v>否</v>
          </cell>
          <cell r="K375" t="str">
            <v>深圳积木易搭科技技术有限公司</v>
          </cell>
          <cell r="L375" t="str">
            <v/>
          </cell>
          <cell r="M375" t="str">
            <v>2023-11-27 14:42:28</v>
          </cell>
          <cell r="N375" t="str">
            <v>2023-11-27 14:42:28</v>
          </cell>
          <cell r="O375" t="str">
            <v>单涛</v>
          </cell>
          <cell r="P375" t="str">
            <v/>
          </cell>
          <cell r="Q375" t="str">
            <v/>
          </cell>
          <cell r="R375" t="str">
            <v>否</v>
          </cell>
          <cell r="S375" t="str">
            <v/>
          </cell>
          <cell r="T375" t="str">
            <v/>
          </cell>
          <cell r="U375" t="str">
            <v/>
          </cell>
          <cell r="V375" t="str">
            <v/>
          </cell>
          <cell r="W375" t="str">
            <v/>
          </cell>
          <cell r="X375" t="str">
            <v/>
          </cell>
          <cell r="Y375" t="str">
            <v>1081100005B</v>
          </cell>
          <cell r="Z375" t="str">
            <v>-</v>
          </cell>
          <cell r="AA375" t="str">
            <v/>
          </cell>
          <cell r="AB375" t="str">
            <v/>
          </cell>
          <cell r="AC375" t="str">
            <v/>
          </cell>
          <cell r="AD375" t="str">
            <v/>
          </cell>
          <cell r="AE375" t="str">
            <v/>
          </cell>
          <cell r="AF375" t="str">
            <v/>
          </cell>
          <cell r="AG375" t="str">
            <v/>
          </cell>
          <cell r="AH375" t="str">
            <v/>
          </cell>
          <cell r="AI375" t="str">
            <v/>
          </cell>
          <cell r="AJ375" t="str">
            <v/>
          </cell>
          <cell r="AK375" t="str">
            <v/>
          </cell>
        </row>
        <row r="376">
          <cell r="A376">
            <v>1080800001</v>
          </cell>
          <cell r="B376" t="str">
            <v>捆线丝</v>
          </cell>
          <cell r="C376" t="str">
            <v/>
          </cell>
          <cell r="D376" t="str">
            <v>根</v>
          </cell>
          <cell r="E376" t="str">
            <v/>
          </cell>
          <cell r="F376" t="str">
            <v>捆线丝</v>
          </cell>
          <cell r="G376" t="str">
            <v/>
          </cell>
          <cell r="H376" t="str">
            <v>其它物料</v>
          </cell>
          <cell r="I376" t="str">
            <v>否</v>
          </cell>
          <cell r="J376" t="str">
            <v>否</v>
          </cell>
          <cell r="K376" t="str">
            <v>深圳积木易搭科技技术有限公司</v>
          </cell>
          <cell r="L376" t="str">
            <v/>
          </cell>
          <cell r="M376" t="str">
            <v>2023-11-27 14:41:26</v>
          </cell>
          <cell r="N376" t="str">
            <v>2023-11-27 14:41:26</v>
          </cell>
          <cell r="O376" t="str">
            <v>单涛</v>
          </cell>
          <cell r="P376" t="str">
            <v/>
          </cell>
          <cell r="Q376" t="str">
            <v/>
          </cell>
          <cell r="R376" t="str">
            <v>否</v>
          </cell>
          <cell r="S376" t="str">
            <v/>
          </cell>
          <cell r="T376" t="str">
            <v/>
          </cell>
          <cell r="U376" t="str">
            <v/>
          </cell>
          <cell r="V376" t="str">
            <v/>
          </cell>
          <cell r="W376" t="str">
            <v/>
          </cell>
          <cell r="X376" t="str">
            <v/>
          </cell>
          <cell r="Y376" t="str">
            <v>1080800001</v>
          </cell>
          <cell r="Z376" t="str">
            <v>-</v>
          </cell>
          <cell r="AA376" t="str">
            <v/>
          </cell>
          <cell r="AB376" t="str">
            <v/>
          </cell>
          <cell r="AC376" t="str">
            <v/>
          </cell>
          <cell r="AD376" t="str">
            <v/>
          </cell>
          <cell r="AE376" t="str">
            <v/>
          </cell>
          <cell r="AF376" t="str">
            <v/>
          </cell>
          <cell r="AG376" t="str">
            <v/>
          </cell>
          <cell r="AH376" t="str">
            <v/>
          </cell>
          <cell r="AI376" t="str">
            <v/>
          </cell>
          <cell r="AJ376" t="str">
            <v/>
          </cell>
          <cell r="AK376" t="str">
            <v/>
          </cell>
        </row>
        <row r="377">
          <cell r="A377">
            <v>1040600010</v>
          </cell>
          <cell r="B377" t="str">
            <v>低配电源适配器</v>
          </cell>
          <cell r="C377" t="str">
            <v/>
          </cell>
          <cell r="D377" t="str">
            <v>个</v>
          </cell>
          <cell r="E377" t="str">
            <v/>
          </cell>
          <cell r="F377" t="str">
            <v/>
          </cell>
          <cell r="G377" t="str">
            <v/>
          </cell>
          <cell r="H377" t="str">
            <v>其它物料</v>
          </cell>
          <cell r="I377" t="str">
            <v>否</v>
          </cell>
          <cell r="J377" t="str">
            <v>否</v>
          </cell>
          <cell r="K377" t="str">
            <v>深圳积木易搭科技技术有限公司</v>
          </cell>
          <cell r="L377" t="str">
            <v/>
          </cell>
          <cell r="M377" t="str">
            <v>2023-11-27 14:40:14</v>
          </cell>
          <cell r="N377" t="str">
            <v>2023-11-27 14:40:14</v>
          </cell>
          <cell r="O377" t="str">
            <v>单涛</v>
          </cell>
          <cell r="P377" t="str">
            <v/>
          </cell>
          <cell r="Q377" t="str">
            <v/>
          </cell>
          <cell r="R377" t="str">
            <v>否</v>
          </cell>
          <cell r="S377" t="str">
            <v/>
          </cell>
          <cell r="T377" t="str">
            <v/>
          </cell>
          <cell r="U377" t="str">
            <v/>
          </cell>
          <cell r="V377" t="str">
            <v/>
          </cell>
          <cell r="W377" t="str">
            <v/>
          </cell>
          <cell r="X377" t="str">
            <v/>
          </cell>
          <cell r="Y377" t="str">
            <v>1040600010</v>
          </cell>
          <cell r="Z377" t="str">
            <v>-</v>
          </cell>
          <cell r="AA377" t="str">
            <v/>
          </cell>
          <cell r="AB377" t="str">
            <v/>
          </cell>
          <cell r="AC377" t="str">
            <v/>
          </cell>
          <cell r="AD377" t="str">
            <v/>
          </cell>
          <cell r="AE377" t="str">
            <v/>
          </cell>
          <cell r="AF377" t="str">
            <v/>
          </cell>
          <cell r="AG377" t="str">
            <v/>
          </cell>
          <cell r="AH377" t="str">
            <v/>
          </cell>
          <cell r="AI377" t="str">
            <v/>
          </cell>
          <cell r="AJ377" t="str">
            <v/>
          </cell>
          <cell r="AK377" t="str">
            <v/>
          </cell>
        </row>
        <row r="378">
          <cell r="A378">
            <v>1080100019</v>
          </cell>
          <cell r="B378" t="str">
            <v>空白物流箱2#</v>
          </cell>
          <cell r="C378" t="str">
            <v/>
          </cell>
          <cell r="D378" t="str">
            <v>个</v>
          </cell>
          <cell r="E378" t="str">
            <v/>
          </cell>
          <cell r="F378" t="str">
            <v/>
          </cell>
          <cell r="G378" t="str">
            <v/>
          </cell>
          <cell r="H378" t="str">
            <v>其它物料</v>
          </cell>
          <cell r="I378" t="str">
            <v>否</v>
          </cell>
          <cell r="J378" t="str">
            <v>否</v>
          </cell>
          <cell r="K378" t="str">
            <v>深圳积木易搭科技技术有限公司</v>
          </cell>
          <cell r="L378" t="str">
            <v/>
          </cell>
          <cell r="M378" t="str">
            <v>2023-11-27 14:38:23</v>
          </cell>
          <cell r="N378" t="str">
            <v>2023-11-27 14:38:23</v>
          </cell>
          <cell r="O378" t="str">
            <v>单涛</v>
          </cell>
          <cell r="P378" t="str">
            <v/>
          </cell>
          <cell r="Q378" t="str">
            <v/>
          </cell>
          <cell r="R378" t="str">
            <v>否</v>
          </cell>
          <cell r="S378" t="str">
            <v/>
          </cell>
          <cell r="T378" t="str">
            <v/>
          </cell>
          <cell r="U378" t="str">
            <v/>
          </cell>
          <cell r="V378" t="str">
            <v/>
          </cell>
          <cell r="W378" t="str">
            <v/>
          </cell>
          <cell r="X378" t="str">
            <v/>
          </cell>
          <cell r="Y378" t="str">
            <v>1080100019</v>
          </cell>
          <cell r="Z378" t="str">
            <v>-</v>
          </cell>
          <cell r="AA378" t="str">
            <v/>
          </cell>
          <cell r="AB378" t="str">
            <v/>
          </cell>
          <cell r="AC378" t="str">
            <v/>
          </cell>
          <cell r="AD378" t="str">
            <v/>
          </cell>
          <cell r="AE378" t="str">
            <v/>
          </cell>
          <cell r="AF378" t="str">
            <v/>
          </cell>
          <cell r="AG378" t="str">
            <v/>
          </cell>
          <cell r="AH378" t="str">
            <v/>
          </cell>
          <cell r="AI378" t="str">
            <v/>
          </cell>
          <cell r="AJ378" t="str">
            <v/>
          </cell>
          <cell r="AK378" t="str">
            <v/>
          </cell>
        </row>
        <row r="379">
          <cell r="A379">
            <v>1080400005</v>
          </cell>
          <cell r="B379" t="str">
            <v>低配手提包外纸盒</v>
          </cell>
          <cell r="C379" t="str">
            <v/>
          </cell>
          <cell r="D379" t="str">
            <v>个</v>
          </cell>
          <cell r="E379" t="str">
            <v/>
          </cell>
          <cell r="F379" t="str">
            <v/>
          </cell>
          <cell r="G379" t="str">
            <v/>
          </cell>
          <cell r="H379" t="str">
            <v>其它物料</v>
          </cell>
          <cell r="I379" t="str">
            <v>否</v>
          </cell>
          <cell r="J379" t="str">
            <v>否</v>
          </cell>
          <cell r="K379" t="str">
            <v>深圳积木易搭科技技术有限公司</v>
          </cell>
          <cell r="L379" t="str">
            <v/>
          </cell>
          <cell r="M379" t="str">
            <v>2023-11-27 14:37:16</v>
          </cell>
          <cell r="N379" t="str">
            <v>2023-11-27 14:39:01</v>
          </cell>
          <cell r="O379" t="str">
            <v>单涛</v>
          </cell>
          <cell r="P379" t="str">
            <v>单涛</v>
          </cell>
          <cell r="Q379" t="str">
            <v/>
          </cell>
          <cell r="R379" t="str">
            <v>否</v>
          </cell>
          <cell r="S379" t="str">
            <v/>
          </cell>
          <cell r="T379" t="str">
            <v/>
          </cell>
          <cell r="U379" t="str">
            <v/>
          </cell>
          <cell r="V379" t="str">
            <v/>
          </cell>
          <cell r="W379" t="str">
            <v/>
          </cell>
          <cell r="X379" t="str">
            <v/>
          </cell>
          <cell r="Y379" t="str">
            <v>1080400005</v>
          </cell>
          <cell r="Z379" t="str">
            <v>-</v>
          </cell>
          <cell r="AA379" t="str">
            <v/>
          </cell>
          <cell r="AB379" t="str">
            <v/>
          </cell>
          <cell r="AC379" t="str">
            <v/>
          </cell>
          <cell r="AD379" t="str">
            <v/>
          </cell>
          <cell r="AE379" t="str">
            <v/>
          </cell>
          <cell r="AF379" t="str">
            <v/>
          </cell>
          <cell r="AG379" t="str">
            <v/>
          </cell>
          <cell r="AH379" t="str">
            <v/>
          </cell>
          <cell r="AI379" t="str">
            <v/>
          </cell>
          <cell r="AJ379" t="str">
            <v/>
          </cell>
          <cell r="AK379" t="str">
            <v/>
          </cell>
        </row>
        <row r="380">
          <cell r="A380">
            <v>1030700005</v>
          </cell>
          <cell r="B380" t="str">
            <v>低配U盘</v>
          </cell>
          <cell r="C380" t="str">
            <v/>
          </cell>
          <cell r="D380" t="str">
            <v>台</v>
          </cell>
          <cell r="E380" t="str">
            <v/>
          </cell>
          <cell r="F380" t="str">
            <v>低配U盘</v>
          </cell>
          <cell r="G380" t="str">
            <v/>
          </cell>
          <cell r="H380" t="str">
            <v>三维扫描仪备品备件</v>
          </cell>
          <cell r="I380" t="str">
            <v>否</v>
          </cell>
          <cell r="J380" t="str">
            <v>否</v>
          </cell>
          <cell r="K380" t="str">
            <v>深圳积木易搭科技技术有限公司</v>
          </cell>
          <cell r="L380" t="str">
            <v/>
          </cell>
          <cell r="M380" t="str">
            <v>2023-11-23 11:57:51</v>
          </cell>
          <cell r="N380" t="str">
            <v>2023-11-23 11:57:51</v>
          </cell>
          <cell r="O380" t="str">
            <v>单涛</v>
          </cell>
          <cell r="P380" t="str">
            <v/>
          </cell>
          <cell r="Q380" t="str">
            <v/>
          </cell>
          <cell r="R380" t="str">
            <v>否</v>
          </cell>
          <cell r="S380" t="str">
            <v/>
          </cell>
          <cell r="T380" t="str">
            <v/>
          </cell>
          <cell r="U380" t="str">
            <v/>
          </cell>
          <cell r="V380" t="str">
            <v/>
          </cell>
          <cell r="W380" t="str">
            <v/>
          </cell>
          <cell r="X380" t="str">
            <v/>
          </cell>
          <cell r="Y380" t="str">
            <v>1030700005</v>
          </cell>
          <cell r="Z380" t="str">
            <v>朗科U196  4G</v>
          </cell>
          <cell r="AA380" t="str">
            <v/>
          </cell>
          <cell r="AB380" t="str">
            <v/>
          </cell>
          <cell r="AC380" t="str">
            <v/>
          </cell>
          <cell r="AD380" t="str">
            <v/>
          </cell>
          <cell r="AE380" t="str">
            <v/>
          </cell>
          <cell r="AF380" t="str">
            <v/>
          </cell>
          <cell r="AG380" t="str">
            <v/>
          </cell>
          <cell r="AH380" t="str">
            <v/>
          </cell>
          <cell r="AI380" t="str">
            <v/>
          </cell>
          <cell r="AJ380" t="str">
            <v/>
          </cell>
          <cell r="AK380" t="str">
            <v/>
          </cell>
        </row>
        <row r="381">
          <cell r="A381">
            <v>1200100082</v>
          </cell>
          <cell r="B381" t="str">
            <v>Lizard彩色套件</v>
          </cell>
          <cell r="C381" t="str">
            <v>LizardColor Kit(EN)</v>
          </cell>
          <cell r="D381" t="str">
            <v>套</v>
          </cell>
          <cell r="E381" t="str">
            <v/>
          </cell>
          <cell r="F381" t="str">
            <v>Lizard彩色套件</v>
          </cell>
          <cell r="G381" t="str">
            <v>Creality</v>
          </cell>
          <cell r="H381" t="str">
            <v>三维扫描仪备品备件</v>
          </cell>
          <cell r="I381" t="str">
            <v>否</v>
          </cell>
          <cell r="J381" t="str">
            <v>否</v>
          </cell>
          <cell r="K381" t="str">
            <v>深圳积木易搭科技技术有限公司</v>
          </cell>
          <cell r="L381" t="str">
            <v/>
          </cell>
          <cell r="M381" t="str">
            <v>2023-11-22 18:32:11</v>
          </cell>
          <cell r="N381" t="str">
            <v>2023-12-05 12:05:43</v>
          </cell>
          <cell r="O381" t="str">
            <v>单涛</v>
          </cell>
          <cell r="P381" t="str">
            <v>单涛</v>
          </cell>
          <cell r="Q381" t="str">
            <v/>
          </cell>
          <cell r="R381" t="str">
            <v>否</v>
          </cell>
          <cell r="S381" t="str">
            <v/>
          </cell>
          <cell r="T381" t="str">
            <v/>
          </cell>
          <cell r="U381" t="str">
            <v/>
          </cell>
          <cell r="V381" t="str">
            <v/>
          </cell>
          <cell r="W381" t="str">
            <v/>
          </cell>
          <cell r="X381" t="str">
            <v/>
          </cell>
          <cell r="Y381" t="str">
            <v>1200100082</v>
          </cell>
          <cell r="Z381" t="str">
            <v>-</v>
          </cell>
          <cell r="AA381" t="str">
            <v/>
          </cell>
          <cell r="AB381" t="str">
            <v/>
          </cell>
          <cell r="AC381" t="str">
            <v/>
          </cell>
          <cell r="AD381" t="str">
            <v/>
          </cell>
          <cell r="AE381" t="str">
            <v/>
          </cell>
          <cell r="AF381" t="str">
            <v/>
          </cell>
          <cell r="AG381" t="str">
            <v/>
          </cell>
          <cell r="AH381" t="str">
            <v/>
          </cell>
          <cell r="AI381">
            <v>79</v>
          </cell>
          <cell r="AJ381" t="str">
            <v/>
          </cell>
          <cell r="AK381" t="str">
            <v/>
          </cell>
        </row>
        <row r="382">
          <cell r="A382">
            <v>1040600060</v>
          </cell>
          <cell r="B382" t="str">
            <v>插头</v>
          </cell>
          <cell r="C382" t="str">
            <v/>
          </cell>
          <cell r="D382" t="str">
            <v>个</v>
          </cell>
          <cell r="E382" t="str">
            <v/>
          </cell>
          <cell r="F382" t="str">
            <v>欧规插头/黑色（搭配RH-PD65W-1 PD电源使用）</v>
          </cell>
          <cell r="G382" t="str">
            <v/>
          </cell>
          <cell r="H382" t="str">
            <v>三维扫描仪备品备件</v>
          </cell>
          <cell r="I382" t="str">
            <v>否</v>
          </cell>
          <cell r="J382" t="str">
            <v>否</v>
          </cell>
          <cell r="K382" t="str">
            <v>深圳积木易搭科技技术有限公司</v>
          </cell>
          <cell r="L382" t="str">
            <v/>
          </cell>
          <cell r="M382" t="str">
            <v>2023-11-17 15:12:45</v>
          </cell>
          <cell r="N382" t="str">
            <v>2024-03-26 17:46:48</v>
          </cell>
          <cell r="O382" t="str">
            <v>单涛</v>
          </cell>
          <cell r="P382" t="str">
            <v>单涛</v>
          </cell>
          <cell r="Q382" t="str">
            <v/>
          </cell>
          <cell r="R382" t="str">
            <v>否</v>
          </cell>
          <cell r="S382" t="str">
            <v/>
          </cell>
          <cell r="T382" t="str">
            <v/>
          </cell>
          <cell r="U382" t="str">
            <v/>
          </cell>
          <cell r="V382" t="str">
            <v/>
          </cell>
          <cell r="W382" t="str">
            <v/>
          </cell>
          <cell r="X382" t="str">
            <v/>
          </cell>
          <cell r="Y382" t="str">
            <v>1040600060</v>
          </cell>
          <cell r="Z382" t="str">
            <v>-</v>
          </cell>
          <cell r="AA382" t="str">
            <v/>
          </cell>
          <cell r="AB382" t="str">
            <v/>
          </cell>
          <cell r="AC382" t="str">
            <v/>
          </cell>
          <cell r="AD382" t="str">
            <v/>
          </cell>
          <cell r="AE382" t="str">
            <v/>
          </cell>
          <cell r="AF382" t="str">
            <v/>
          </cell>
          <cell r="AG382" t="str">
            <v/>
          </cell>
          <cell r="AH382" t="str">
            <v/>
          </cell>
          <cell r="AI382" t="str">
            <v/>
          </cell>
          <cell r="AJ382" t="str">
            <v/>
          </cell>
          <cell r="AK382" t="str">
            <v/>
          </cell>
        </row>
        <row r="383">
          <cell r="A383">
            <v>1200200013</v>
          </cell>
          <cell r="B383" t="str">
            <v>低配蓝牙相机控制器</v>
          </cell>
          <cell r="C383" t="str">
            <v/>
          </cell>
          <cell r="D383" t="str">
            <v>个</v>
          </cell>
          <cell r="E383" t="str">
            <v/>
          </cell>
          <cell r="F383" t="str">
            <v>低配蓝牙相机控制器</v>
          </cell>
          <cell r="G383" t="str">
            <v>3DMakerpro</v>
          </cell>
          <cell r="H383" t="str">
            <v>三维扫描仪备品备件</v>
          </cell>
          <cell r="I383" t="str">
            <v>否</v>
          </cell>
          <cell r="J383" t="str">
            <v>否</v>
          </cell>
          <cell r="K383" t="str">
            <v>深圳积木易搭科技技术有限公司</v>
          </cell>
          <cell r="L383" t="str">
            <v/>
          </cell>
          <cell r="M383" t="str">
            <v>2023-11-17 15:01:19</v>
          </cell>
          <cell r="N383" t="str">
            <v>2023-11-17 15:01:19</v>
          </cell>
          <cell r="O383" t="str">
            <v>单涛</v>
          </cell>
          <cell r="P383" t="str">
            <v/>
          </cell>
          <cell r="Q383" t="str">
            <v/>
          </cell>
          <cell r="R383" t="str">
            <v>否</v>
          </cell>
          <cell r="S383" t="str">
            <v/>
          </cell>
          <cell r="T383" t="str">
            <v/>
          </cell>
          <cell r="U383" t="str">
            <v/>
          </cell>
          <cell r="V383" t="str">
            <v/>
          </cell>
          <cell r="W383" t="str">
            <v/>
          </cell>
          <cell r="X383" t="str">
            <v/>
          </cell>
          <cell r="Y383" t="str">
            <v>1200200013</v>
          </cell>
          <cell r="Z383" t="str">
            <v>-</v>
          </cell>
          <cell r="AA383" t="str">
            <v/>
          </cell>
          <cell r="AB383" t="str">
            <v/>
          </cell>
          <cell r="AC383" t="str">
            <v/>
          </cell>
          <cell r="AD383" t="str">
            <v/>
          </cell>
          <cell r="AE383" t="str">
            <v/>
          </cell>
          <cell r="AF383" t="str">
            <v/>
          </cell>
          <cell r="AG383" t="str">
            <v/>
          </cell>
          <cell r="AH383" t="str">
            <v/>
          </cell>
          <cell r="AI383" t="str">
            <v/>
          </cell>
          <cell r="AJ383" t="str">
            <v/>
          </cell>
          <cell r="AK383" t="str">
            <v/>
          </cell>
        </row>
        <row r="384">
          <cell r="A384">
            <v>1010100183</v>
          </cell>
          <cell r="B384" t="str">
            <v>SC-jM6抄数机设备配承重转台</v>
          </cell>
          <cell r="C384" t="str">
            <v/>
          </cell>
          <cell r="D384" t="str">
            <v>台</v>
          </cell>
          <cell r="E384" t="str">
            <v/>
          </cell>
          <cell r="F384" t="str">
            <v>SC-jM6抄数机设备配承重转台</v>
          </cell>
          <cell r="G384" t="str">
            <v>3DMakerpro</v>
          </cell>
          <cell r="H384" t="str">
            <v>三维扫描仪备品备件</v>
          </cell>
          <cell r="I384" t="str">
            <v>否</v>
          </cell>
          <cell r="J384" t="str">
            <v>否</v>
          </cell>
          <cell r="K384" t="str">
            <v>深圳积木易搭科技技术有限公司</v>
          </cell>
          <cell r="L384" t="str">
            <v/>
          </cell>
          <cell r="M384" t="str">
            <v>2023-11-17 14:58:46</v>
          </cell>
          <cell r="N384" t="str">
            <v>2023-11-17 14:58:46</v>
          </cell>
          <cell r="O384" t="str">
            <v>单涛</v>
          </cell>
          <cell r="P384" t="str">
            <v/>
          </cell>
          <cell r="Q384" t="str">
            <v/>
          </cell>
          <cell r="R384" t="str">
            <v>否</v>
          </cell>
          <cell r="S384" t="str">
            <v/>
          </cell>
          <cell r="T384" t="str">
            <v/>
          </cell>
          <cell r="U384" t="str">
            <v/>
          </cell>
          <cell r="V384" t="str">
            <v/>
          </cell>
          <cell r="W384" t="str">
            <v/>
          </cell>
          <cell r="X384" t="str">
            <v/>
          </cell>
          <cell r="Y384" t="str">
            <v>1010100183</v>
          </cell>
          <cell r="Z384" t="str">
            <v>-</v>
          </cell>
          <cell r="AA384" t="str">
            <v/>
          </cell>
          <cell r="AB384" t="str">
            <v/>
          </cell>
          <cell r="AC384" t="str">
            <v/>
          </cell>
          <cell r="AD384" t="str">
            <v/>
          </cell>
          <cell r="AE384" t="str">
            <v/>
          </cell>
          <cell r="AF384" t="str">
            <v/>
          </cell>
          <cell r="AG384" t="str">
            <v/>
          </cell>
          <cell r="AH384" t="str">
            <v/>
          </cell>
          <cell r="AI384" t="str">
            <v/>
          </cell>
          <cell r="AJ384" t="str">
            <v/>
          </cell>
          <cell r="AK384" t="str">
            <v/>
          </cell>
        </row>
        <row r="385">
          <cell r="A385">
            <v>1200100038</v>
          </cell>
          <cell r="B385" t="str">
            <v>Lynx手机云台整机</v>
          </cell>
          <cell r="C385" t="str">
            <v>Lynx Connect</v>
          </cell>
          <cell r="D385" t="str">
            <v>台</v>
          </cell>
          <cell r="E385" t="str">
            <v/>
          </cell>
          <cell r="F385" t="str">
            <v>Lynx手机云台整机</v>
          </cell>
          <cell r="G385" t="str">
            <v>3DMakerpro</v>
          </cell>
          <cell r="H385" t="str">
            <v>三维扫描仪备品备件</v>
          </cell>
          <cell r="I385" t="str">
            <v>否</v>
          </cell>
          <cell r="J385" t="str">
            <v>否</v>
          </cell>
          <cell r="K385" t="str">
            <v>深圳积木易搭科技技术有限公司</v>
          </cell>
          <cell r="L385" t="str">
            <v/>
          </cell>
          <cell r="M385" t="str">
            <v>2023-11-16 18:09:24</v>
          </cell>
          <cell r="N385" t="str">
            <v>2024-03-15 09:20:47</v>
          </cell>
          <cell r="O385" t="str">
            <v>单涛</v>
          </cell>
          <cell r="P385" t="str">
            <v>单涛</v>
          </cell>
          <cell r="Q385" t="str">
            <v/>
          </cell>
          <cell r="R385" t="str">
            <v>否</v>
          </cell>
          <cell r="S385" t="str">
            <v/>
          </cell>
          <cell r="T385" t="str">
            <v/>
          </cell>
          <cell r="U385" t="str">
            <v/>
          </cell>
          <cell r="V385" t="str">
            <v/>
          </cell>
          <cell r="W385" t="str">
            <v/>
          </cell>
          <cell r="X385" t="str">
            <v/>
          </cell>
          <cell r="Y385" t="str">
            <v>1200100038</v>
          </cell>
          <cell r="Z385" t="str">
            <v>-</v>
          </cell>
          <cell r="AA385" t="str">
            <v/>
          </cell>
          <cell r="AB385">
            <v>15</v>
          </cell>
          <cell r="AC385">
            <v>15</v>
          </cell>
          <cell r="AD385">
            <v>5</v>
          </cell>
          <cell r="AE385">
            <v>1125</v>
          </cell>
          <cell r="AF385" t="str">
            <v>cm³</v>
          </cell>
          <cell r="AG385">
            <v>0.3</v>
          </cell>
          <cell r="AH385" t="str">
            <v>kg</v>
          </cell>
          <cell r="AI385" t="str">
            <v/>
          </cell>
          <cell r="AJ385" t="str">
            <v>9006919900</v>
          </cell>
          <cell r="AK385" t="str">
            <v/>
          </cell>
        </row>
        <row r="386">
          <cell r="A386">
            <v>1200100068</v>
          </cell>
          <cell r="B386" t="str">
            <v>三维扫描仪Lizard（低配）整机</v>
          </cell>
          <cell r="C386" t="str">
            <v/>
          </cell>
          <cell r="D386" t="str">
            <v>台</v>
          </cell>
          <cell r="E386" t="str">
            <v/>
          </cell>
          <cell r="F386" t="str">
            <v>Lizard（低配）整机 -KYT</v>
          </cell>
          <cell r="G386" t="str">
            <v>Creality</v>
          </cell>
          <cell r="H386" t="str">
            <v>三维扫描仪-CRSL</v>
          </cell>
          <cell r="I386" t="str">
            <v>否</v>
          </cell>
          <cell r="J386" t="str">
            <v>否</v>
          </cell>
          <cell r="K386" t="str">
            <v>深圳积木易搭科技技术有限公司</v>
          </cell>
          <cell r="L386" t="str">
            <v/>
          </cell>
          <cell r="M386" t="str">
            <v>2023-11-16 13:42:40</v>
          </cell>
          <cell r="N386" t="str">
            <v>2025-01-14 13:58:08</v>
          </cell>
          <cell r="O386" t="str">
            <v>单涛</v>
          </cell>
          <cell r="P386" t="str">
            <v>单涛</v>
          </cell>
          <cell r="Q386" t="str">
            <v/>
          </cell>
          <cell r="R386" t="str">
            <v>否</v>
          </cell>
          <cell r="S386" t="str">
            <v/>
          </cell>
          <cell r="T386" t="str">
            <v/>
          </cell>
          <cell r="U386" t="str">
            <v/>
          </cell>
          <cell r="V386" t="str">
            <v/>
          </cell>
          <cell r="W386" t="str">
            <v/>
          </cell>
          <cell r="X386" t="str">
            <v/>
          </cell>
          <cell r="Y386" t="str">
            <v>1200100068</v>
          </cell>
          <cell r="Z386" t="str">
            <v>CRSL</v>
          </cell>
          <cell r="AA386" t="str">
            <v/>
          </cell>
          <cell r="AB386" t="str">
            <v/>
          </cell>
          <cell r="AC386" t="str">
            <v/>
          </cell>
          <cell r="AD386" t="str">
            <v/>
          </cell>
          <cell r="AE386" t="str">
            <v/>
          </cell>
          <cell r="AF386" t="str">
            <v/>
          </cell>
          <cell r="AG386" t="str">
            <v/>
          </cell>
          <cell r="AH386" t="str">
            <v/>
          </cell>
          <cell r="AI386" t="str">
            <v/>
          </cell>
          <cell r="AJ386" t="str">
            <v>9031499000</v>
          </cell>
          <cell r="AK386" t="str">
            <v/>
          </cell>
        </row>
        <row r="387">
          <cell r="A387">
            <v>1021900135</v>
          </cell>
          <cell r="B387" t="str">
            <v>Lynx云台电源线</v>
          </cell>
          <cell r="C387" t="str">
            <v/>
          </cell>
          <cell r="D387" t="str">
            <v>根</v>
          </cell>
          <cell r="E387" t="str">
            <v/>
          </cell>
          <cell r="F387" t="str">
            <v>Lynx云台电源线</v>
          </cell>
          <cell r="G387" t="str">
            <v>3DMakerpro</v>
          </cell>
          <cell r="H387" t="str">
            <v>三维扫描仪备品备件</v>
          </cell>
          <cell r="I387" t="str">
            <v>否</v>
          </cell>
          <cell r="J387" t="str">
            <v>否</v>
          </cell>
          <cell r="K387" t="str">
            <v>深圳积木易搭科技技术有限公司</v>
          </cell>
          <cell r="L387" t="str">
            <v/>
          </cell>
          <cell r="M387" t="str">
            <v>2023-11-15 11:44:33</v>
          </cell>
          <cell r="N387" t="str">
            <v>2024-03-18 14:18:41</v>
          </cell>
          <cell r="O387" t="str">
            <v>单涛</v>
          </cell>
          <cell r="P387" t="str">
            <v/>
          </cell>
          <cell r="Q387" t="str">
            <v/>
          </cell>
          <cell r="R387" t="str">
            <v>否</v>
          </cell>
          <cell r="S387" t="str">
            <v/>
          </cell>
          <cell r="T387" t="str">
            <v/>
          </cell>
          <cell r="U387" t="str">
            <v/>
          </cell>
          <cell r="V387" t="str">
            <v/>
          </cell>
          <cell r="W387" t="str">
            <v/>
          </cell>
          <cell r="X387" t="str">
            <v/>
          </cell>
          <cell r="Y387" t="str">
            <v>1021900135</v>
          </cell>
          <cell r="Z387" t="str">
            <v>-</v>
          </cell>
          <cell r="AA387" t="str">
            <v/>
          </cell>
          <cell r="AB387" t="str">
            <v/>
          </cell>
          <cell r="AC387" t="str">
            <v/>
          </cell>
          <cell r="AD387" t="str">
            <v/>
          </cell>
          <cell r="AE387" t="str">
            <v/>
          </cell>
          <cell r="AF387" t="str">
            <v/>
          </cell>
          <cell r="AG387" t="str">
            <v/>
          </cell>
          <cell r="AH387" t="str">
            <v/>
          </cell>
          <cell r="AI387" t="str">
            <v/>
          </cell>
          <cell r="AJ387" t="str">
            <v>8544421100</v>
          </cell>
          <cell r="AK387" t="str">
            <v/>
          </cell>
        </row>
        <row r="388">
          <cell r="A388">
            <v>1200100002</v>
          </cell>
          <cell r="B388" t="str">
            <v>三维扫描仪Lizard（低配）整机</v>
          </cell>
          <cell r="C388" t="str">
            <v/>
          </cell>
          <cell r="D388" t="str">
            <v>台</v>
          </cell>
          <cell r="E388" t="str">
            <v/>
          </cell>
          <cell r="F388" t="str">
            <v>Lizard（低配）整机</v>
          </cell>
          <cell r="G388" t="str">
            <v>Creality</v>
          </cell>
          <cell r="H388" t="str">
            <v>三维扫描仪-CRSL</v>
          </cell>
          <cell r="I388" t="str">
            <v>否</v>
          </cell>
          <cell r="J388" t="str">
            <v>否</v>
          </cell>
          <cell r="K388" t="str">
            <v>深圳积木易搭科技技术有限公司</v>
          </cell>
          <cell r="L388" t="str">
            <v/>
          </cell>
          <cell r="M388" t="str">
            <v>2023-11-15 10:18:09</v>
          </cell>
          <cell r="N388" t="str">
            <v>2025-01-14 13:58:14</v>
          </cell>
          <cell r="O388" t="str">
            <v>单涛</v>
          </cell>
          <cell r="P388" t="str">
            <v>单涛</v>
          </cell>
          <cell r="Q388" t="str">
            <v/>
          </cell>
          <cell r="R388" t="str">
            <v>否</v>
          </cell>
          <cell r="S388" t="str">
            <v/>
          </cell>
          <cell r="T388" t="str">
            <v/>
          </cell>
          <cell r="U388" t="str">
            <v/>
          </cell>
          <cell r="V388" t="str">
            <v/>
          </cell>
          <cell r="W388" t="str">
            <v/>
          </cell>
          <cell r="X388" t="str">
            <v/>
          </cell>
          <cell r="Y388" t="str">
            <v>1200100002</v>
          </cell>
          <cell r="Z388" t="str">
            <v>CRSL</v>
          </cell>
          <cell r="AA388" t="str">
            <v/>
          </cell>
          <cell r="AB388" t="str">
            <v/>
          </cell>
          <cell r="AC388" t="str">
            <v/>
          </cell>
          <cell r="AD388" t="str">
            <v/>
          </cell>
          <cell r="AE388" t="str">
            <v/>
          </cell>
          <cell r="AF388" t="str">
            <v/>
          </cell>
          <cell r="AG388" t="str">
            <v/>
          </cell>
          <cell r="AH388" t="str">
            <v/>
          </cell>
          <cell r="AI388" t="str">
            <v/>
          </cell>
          <cell r="AJ388" t="str">
            <v>9031499000</v>
          </cell>
          <cell r="AK388" t="str">
            <v/>
          </cell>
        </row>
        <row r="389">
          <cell r="A389">
            <v>1050400015</v>
          </cell>
          <cell r="B389" t="str">
            <v>MP80拍摄工作桌</v>
          </cell>
          <cell r="C389" t="str">
            <v/>
          </cell>
          <cell r="D389" t="str">
            <v>台</v>
          </cell>
          <cell r="E389" t="str">
            <v/>
          </cell>
          <cell r="F389" t="str">
            <v>MP80拍摄工作桌</v>
          </cell>
          <cell r="G389" t="str">
            <v/>
          </cell>
          <cell r="H389" t="str">
            <v>三维扫描仪备品备件</v>
          </cell>
          <cell r="I389" t="str">
            <v>否</v>
          </cell>
          <cell r="J389" t="str">
            <v>否</v>
          </cell>
          <cell r="K389" t="str">
            <v>深圳积木易搭科技技术有限公司</v>
          </cell>
          <cell r="L389" t="str">
            <v/>
          </cell>
          <cell r="M389" t="str">
            <v>2023-11-07 15:04:04</v>
          </cell>
          <cell r="N389" t="str">
            <v>2023-11-07 15:04:04</v>
          </cell>
          <cell r="O389" t="str">
            <v>单涛</v>
          </cell>
          <cell r="P389" t="str">
            <v/>
          </cell>
          <cell r="Q389" t="str">
            <v/>
          </cell>
          <cell r="R389" t="str">
            <v>否</v>
          </cell>
          <cell r="S389" t="str">
            <v/>
          </cell>
          <cell r="T389" t="str">
            <v/>
          </cell>
          <cell r="U389" t="str">
            <v/>
          </cell>
          <cell r="V389" t="str">
            <v/>
          </cell>
          <cell r="W389" t="str">
            <v/>
          </cell>
          <cell r="X389" t="str">
            <v/>
          </cell>
          <cell r="Y389" t="str">
            <v>1050400015</v>
          </cell>
          <cell r="Z389" t="str">
            <v>-</v>
          </cell>
          <cell r="AA389" t="str">
            <v/>
          </cell>
          <cell r="AB389" t="str">
            <v/>
          </cell>
          <cell r="AC389" t="str">
            <v/>
          </cell>
          <cell r="AD389" t="str">
            <v/>
          </cell>
          <cell r="AE389" t="str">
            <v/>
          </cell>
          <cell r="AF389" t="str">
            <v/>
          </cell>
          <cell r="AG389" t="str">
            <v/>
          </cell>
          <cell r="AH389" t="str">
            <v/>
          </cell>
          <cell r="AI389" t="str">
            <v/>
          </cell>
          <cell r="AJ389" t="str">
            <v/>
          </cell>
          <cell r="AK389" t="str">
            <v/>
          </cell>
        </row>
        <row r="390">
          <cell r="A390">
            <v>1010500076</v>
          </cell>
          <cell r="B390" t="str">
            <v>Seal扫描仪卡件</v>
          </cell>
          <cell r="C390" t="str">
            <v/>
          </cell>
          <cell r="D390" t="str">
            <v>个</v>
          </cell>
          <cell r="E390" t="str">
            <v/>
          </cell>
          <cell r="F390" t="str">
            <v>Seal扫描仪卡件</v>
          </cell>
          <cell r="G390" t="str">
            <v/>
          </cell>
          <cell r="H390" t="str">
            <v>其它物料</v>
          </cell>
          <cell r="I390" t="str">
            <v>否</v>
          </cell>
          <cell r="J390" t="str">
            <v>否</v>
          </cell>
          <cell r="K390" t="str">
            <v>深圳积木易搭科技技术有限公司</v>
          </cell>
          <cell r="L390" t="str">
            <v/>
          </cell>
          <cell r="M390" t="str">
            <v>2023-11-06 10:12:09</v>
          </cell>
          <cell r="N390" t="str">
            <v>2023-11-06 10:12:09</v>
          </cell>
          <cell r="O390" t="str">
            <v>单涛</v>
          </cell>
          <cell r="P390" t="str">
            <v/>
          </cell>
          <cell r="Q390" t="str">
            <v/>
          </cell>
          <cell r="R390" t="str">
            <v>否</v>
          </cell>
          <cell r="S390" t="str">
            <v/>
          </cell>
          <cell r="T390" t="str">
            <v/>
          </cell>
          <cell r="U390" t="str">
            <v/>
          </cell>
          <cell r="V390" t="str">
            <v/>
          </cell>
          <cell r="W390" t="str">
            <v/>
          </cell>
          <cell r="X390" t="str">
            <v/>
          </cell>
          <cell r="Y390" t="str">
            <v>1010500076</v>
          </cell>
          <cell r="Z390" t="str">
            <v>-</v>
          </cell>
          <cell r="AA390" t="str">
            <v/>
          </cell>
          <cell r="AB390" t="str">
            <v/>
          </cell>
          <cell r="AC390" t="str">
            <v/>
          </cell>
          <cell r="AD390" t="str">
            <v/>
          </cell>
          <cell r="AE390" t="str">
            <v/>
          </cell>
          <cell r="AF390" t="str">
            <v/>
          </cell>
          <cell r="AG390" t="str">
            <v/>
          </cell>
          <cell r="AH390" t="str">
            <v/>
          </cell>
          <cell r="AI390" t="str">
            <v/>
          </cell>
          <cell r="AJ390" t="str">
            <v/>
          </cell>
          <cell r="AK390" t="str">
            <v/>
          </cell>
        </row>
        <row r="391">
          <cell r="A391">
            <v>1060100208</v>
          </cell>
          <cell r="B391" t="str">
            <v>Seal扫描仪垫片</v>
          </cell>
          <cell r="C391" t="str">
            <v/>
          </cell>
          <cell r="D391" t="str">
            <v>个</v>
          </cell>
          <cell r="E391" t="str">
            <v/>
          </cell>
          <cell r="F391" t="str">
            <v>Seal扫描仪垫片</v>
          </cell>
          <cell r="G391" t="str">
            <v/>
          </cell>
          <cell r="H391" t="str">
            <v>其它物料</v>
          </cell>
          <cell r="I391" t="str">
            <v>否</v>
          </cell>
          <cell r="J391" t="str">
            <v>否</v>
          </cell>
          <cell r="K391" t="str">
            <v>深圳积木易搭科技技术有限公司</v>
          </cell>
          <cell r="L391" t="str">
            <v/>
          </cell>
          <cell r="M391" t="str">
            <v>2023-11-06 10:09:58</v>
          </cell>
          <cell r="N391" t="str">
            <v>2023-11-06 10:13:02</v>
          </cell>
          <cell r="O391" t="str">
            <v>单涛</v>
          </cell>
          <cell r="P391" t="str">
            <v>单涛</v>
          </cell>
          <cell r="Q391" t="str">
            <v/>
          </cell>
          <cell r="R391" t="str">
            <v>否</v>
          </cell>
          <cell r="S391" t="str">
            <v/>
          </cell>
          <cell r="T391" t="str">
            <v/>
          </cell>
          <cell r="U391" t="str">
            <v/>
          </cell>
          <cell r="V391" t="str">
            <v/>
          </cell>
          <cell r="W391" t="str">
            <v/>
          </cell>
          <cell r="X391" t="str">
            <v/>
          </cell>
          <cell r="Y391" t="str">
            <v>1060100208</v>
          </cell>
          <cell r="Z391" t="str">
            <v>-</v>
          </cell>
          <cell r="AA391" t="str">
            <v/>
          </cell>
          <cell r="AB391" t="str">
            <v/>
          </cell>
          <cell r="AC391" t="str">
            <v/>
          </cell>
          <cell r="AD391" t="str">
            <v/>
          </cell>
          <cell r="AE391" t="str">
            <v/>
          </cell>
          <cell r="AF391" t="str">
            <v/>
          </cell>
          <cell r="AG391" t="str">
            <v/>
          </cell>
          <cell r="AH391" t="str">
            <v/>
          </cell>
          <cell r="AI391" t="str">
            <v/>
          </cell>
          <cell r="AJ391" t="str">
            <v/>
          </cell>
          <cell r="AK391" t="str">
            <v/>
          </cell>
        </row>
        <row r="392">
          <cell r="A392">
            <v>1080200004</v>
          </cell>
          <cell r="B392" t="str">
            <v>Lynx手提包</v>
          </cell>
          <cell r="C392" t="str">
            <v/>
          </cell>
          <cell r="D392" t="str">
            <v>个</v>
          </cell>
          <cell r="E392" t="str">
            <v/>
          </cell>
          <cell r="F392" t="str">
            <v>Lynx手提包</v>
          </cell>
          <cell r="G392" t="str">
            <v>3DMakerpro</v>
          </cell>
          <cell r="H392" t="str">
            <v>其它物料</v>
          </cell>
          <cell r="I392" t="str">
            <v>否</v>
          </cell>
          <cell r="J392" t="str">
            <v>否</v>
          </cell>
          <cell r="K392" t="str">
            <v>深圳积木易搭科技技术有限公司</v>
          </cell>
          <cell r="L392" t="str">
            <v/>
          </cell>
          <cell r="M392" t="str">
            <v>2023-11-01 16:10:49</v>
          </cell>
          <cell r="N392" t="str">
            <v>2023-11-01 16:10:49</v>
          </cell>
          <cell r="O392" t="str">
            <v>单涛</v>
          </cell>
          <cell r="P392" t="str">
            <v/>
          </cell>
          <cell r="Q392" t="str">
            <v/>
          </cell>
          <cell r="R392" t="str">
            <v>否</v>
          </cell>
          <cell r="S392" t="str">
            <v/>
          </cell>
          <cell r="T392" t="str">
            <v/>
          </cell>
          <cell r="U392" t="str">
            <v/>
          </cell>
          <cell r="V392" t="str">
            <v/>
          </cell>
          <cell r="W392" t="str">
            <v/>
          </cell>
          <cell r="X392" t="str">
            <v/>
          </cell>
          <cell r="Y392" t="str">
            <v>1080200004</v>
          </cell>
          <cell r="Z392" t="str">
            <v>-</v>
          </cell>
          <cell r="AA392" t="str">
            <v/>
          </cell>
          <cell r="AB392" t="str">
            <v/>
          </cell>
          <cell r="AC392" t="str">
            <v/>
          </cell>
          <cell r="AD392" t="str">
            <v/>
          </cell>
          <cell r="AE392" t="str">
            <v/>
          </cell>
          <cell r="AF392" t="str">
            <v/>
          </cell>
          <cell r="AG392" t="str">
            <v/>
          </cell>
          <cell r="AH392" t="str">
            <v/>
          </cell>
          <cell r="AI392" t="str">
            <v/>
          </cell>
          <cell r="AJ392" t="str">
            <v/>
          </cell>
          <cell r="AK392" t="str">
            <v/>
          </cell>
        </row>
        <row r="393">
          <cell r="A393">
            <v>1040600058</v>
          </cell>
          <cell r="B393" t="str">
            <v>插头</v>
          </cell>
          <cell r="C393" t="str">
            <v/>
          </cell>
          <cell r="D393" t="str">
            <v>台</v>
          </cell>
          <cell r="E393" t="str">
            <v/>
          </cell>
          <cell r="F393" t="str">
            <v>插头</v>
          </cell>
          <cell r="G393" t="str">
            <v>3DMakerpro</v>
          </cell>
          <cell r="H393" t="str">
            <v>三维扫描仪备品备件</v>
          </cell>
          <cell r="I393" t="str">
            <v>否</v>
          </cell>
          <cell r="J393" t="str">
            <v>否</v>
          </cell>
          <cell r="K393" t="str">
            <v>深圳积木易搭科技技术有限公司</v>
          </cell>
          <cell r="L393" t="str">
            <v/>
          </cell>
          <cell r="M393" t="str">
            <v>2023-11-01 10:15:38</v>
          </cell>
          <cell r="N393" t="str">
            <v>2024-03-26 17:45:57</v>
          </cell>
          <cell r="O393" t="str">
            <v>单涛</v>
          </cell>
          <cell r="P393" t="str">
            <v>单涛</v>
          </cell>
          <cell r="Q393" t="str">
            <v/>
          </cell>
          <cell r="R393" t="str">
            <v>否</v>
          </cell>
          <cell r="S393" t="str">
            <v/>
          </cell>
          <cell r="T393" t="str">
            <v/>
          </cell>
          <cell r="U393" t="str">
            <v/>
          </cell>
          <cell r="V393" t="str">
            <v/>
          </cell>
          <cell r="W393" t="str">
            <v/>
          </cell>
          <cell r="X393" t="str">
            <v/>
          </cell>
          <cell r="Y393" t="str">
            <v>1040600058</v>
          </cell>
          <cell r="Z393" t="str">
            <v>-</v>
          </cell>
          <cell r="AA393" t="str">
            <v/>
          </cell>
          <cell r="AB393" t="str">
            <v/>
          </cell>
          <cell r="AC393" t="str">
            <v/>
          </cell>
          <cell r="AD393" t="str">
            <v/>
          </cell>
          <cell r="AE393" t="str">
            <v/>
          </cell>
          <cell r="AF393" t="str">
            <v/>
          </cell>
          <cell r="AG393" t="str">
            <v/>
          </cell>
          <cell r="AH393" t="str">
            <v/>
          </cell>
          <cell r="AI393" t="str">
            <v/>
          </cell>
          <cell r="AJ393" t="str">
            <v/>
          </cell>
          <cell r="AK393" t="str">
            <v/>
          </cell>
        </row>
        <row r="394">
          <cell r="A394">
            <v>1200100010</v>
          </cell>
          <cell r="B394" t="str">
            <v>三维扫描仪Whale整机</v>
          </cell>
          <cell r="C394" t="str">
            <v>3D Scanner Whale</v>
          </cell>
          <cell r="D394" t="str">
            <v>台</v>
          </cell>
          <cell r="E394" t="str">
            <v/>
          </cell>
          <cell r="F394" t="str">
            <v>whale整机</v>
          </cell>
          <cell r="G394" t="str">
            <v>3DMakerpro</v>
          </cell>
          <cell r="H394" t="str">
            <v>三维扫描仪备品备件</v>
          </cell>
          <cell r="I394" t="str">
            <v>否</v>
          </cell>
          <cell r="J394" t="str">
            <v>否</v>
          </cell>
          <cell r="K394" t="str">
            <v>深圳积木易搭科技技术有限公司</v>
          </cell>
          <cell r="L394" t="str">
            <v/>
          </cell>
          <cell r="M394" t="str">
            <v>2023-10-27 15:55:10</v>
          </cell>
          <cell r="N394" t="str">
            <v>2025-01-14 13:58:23</v>
          </cell>
          <cell r="O394" t="str">
            <v>单涛</v>
          </cell>
          <cell r="P394" t="str">
            <v>单涛</v>
          </cell>
          <cell r="Q394" t="str">
            <v/>
          </cell>
          <cell r="R394" t="str">
            <v>否</v>
          </cell>
          <cell r="S394" t="str">
            <v/>
          </cell>
          <cell r="T394" t="str">
            <v/>
          </cell>
          <cell r="U394" t="str">
            <v/>
          </cell>
          <cell r="V394" t="str">
            <v/>
          </cell>
          <cell r="W394" t="str">
            <v/>
          </cell>
          <cell r="X394" t="str">
            <v/>
          </cell>
          <cell r="Y394" t="str">
            <v>1200100010</v>
          </cell>
          <cell r="Z394" t="str">
            <v>JMSW</v>
          </cell>
          <cell r="AA394" t="str">
            <v/>
          </cell>
          <cell r="AB394" t="str">
            <v/>
          </cell>
          <cell r="AC394" t="str">
            <v/>
          </cell>
          <cell r="AD394" t="str">
            <v/>
          </cell>
          <cell r="AE394" t="str">
            <v/>
          </cell>
          <cell r="AF394" t="str">
            <v/>
          </cell>
          <cell r="AG394" t="str">
            <v/>
          </cell>
          <cell r="AH394" t="str">
            <v/>
          </cell>
          <cell r="AI394" t="str">
            <v/>
          </cell>
          <cell r="AJ394" t="str">
            <v>9031499000</v>
          </cell>
          <cell r="AK394" t="str">
            <v/>
          </cell>
        </row>
        <row r="395">
          <cell r="A395">
            <v>1080200003</v>
          </cell>
          <cell r="B395" t="str">
            <v>mole手提包</v>
          </cell>
          <cell r="C395" t="str">
            <v/>
          </cell>
          <cell r="D395" t="str">
            <v>个</v>
          </cell>
          <cell r="E395" t="str">
            <v/>
          </cell>
          <cell r="F395" t="str">
            <v>mole手提包</v>
          </cell>
          <cell r="G395" t="str">
            <v/>
          </cell>
          <cell r="H395" t="str">
            <v>其它物料</v>
          </cell>
          <cell r="I395" t="str">
            <v>否</v>
          </cell>
          <cell r="J395" t="str">
            <v>否</v>
          </cell>
          <cell r="K395" t="str">
            <v>深圳积木易搭科技技术有限公司</v>
          </cell>
          <cell r="L395" t="str">
            <v/>
          </cell>
          <cell r="M395" t="str">
            <v>2023-10-26 17:04:49</v>
          </cell>
          <cell r="N395" t="str">
            <v>2023-11-01 10:45:51</v>
          </cell>
          <cell r="O395" t="str">
            <v>单涛</v>
          </cell>
          <cell r="P395" t="str">
            <v/>
          </cell>
          <cell r="Q395" t="str">
            <v/>
          </cell>
          <cell r="R395" t="str">
            <v>否</v>
          </cell>
          <cell r="S395" t="str">
            <v/>
          </cell>
          <cell r="T395" t="str">
            <v/>
          </cell>
          <cell r="U395" t="str">
            <v/>
          </cell>
          <cell r="V395" t="str">
            <v/>
          </cell>
          <cell r="W395" t="str">
            <v/>
          </cell>
          <cell r="X395" t="str">
            <v/>
          </cell>
          <cell r="Y395" t="str">
            <v>1080200003</v>
          </cell>
          <cell r="Z395" t="str">
            <v>黑色/265.7mm*243.7mm*117.1mm</v>
          </cell>
          <cell r="AA395" t="str">
            <v/>
          </cell>
          <cell r="AB395" t="str">
            <v/>
          </cell>
          <cell r="AC395" t="str">
            <v/>
          </cell>
          <cell r="AD395" t="str">
            <v/>
          </cell>
          <cell r="AE395" t="str">
            <v/>
          </cell>
          <cell r="AF395" t="str">
            <v/>
          </cell>
          <cell r="AG395" t="str">
            <v/>
          </cell>
          <cell r="AH395" t="str">
            <v/>
          </cell>
          <cell r="AI395" t="str">
            <v/>
          </cell>
          <cell r="AJ395" t="str">
            <v>42029200001</v>
          </cell>
          <cell r="AK395" t="str">
            <v/>
          </cell>
        </row>
        <row r="396">
          <cell r="A396">
            <v>1060400009</v>
          </cell>
          <cell r="B396" t="str">
            <v>显影剂</v>
          </cell>
          <cell r="C396" t="str">
            <v>AESUB Blue Scanning Spray 400 ml</v>
          </cell>
          <cell r="D396" t="str">
            <v>瓶</v>
          </cell>
          <cell r="E396" t="str">
            <v/>
          </cell>
          <cell r="F396" t="str">
            <v>显影剂</v>
          </cell>
          <cell r="G396" t="str">
            <v/>
          </cell>
          <cell r="H396" t="str">
            <v>其它物料</v>
          </cell>
          <cell r="I396" t="str">
            <v>否</v>
          </cell>
          <cell r="J396" t="str">
            <v>否</v>
          </cell>
          <cell r="K396" t="str">
            <v>深圳积木易搭科技技术有限公司</v>
          </cell>
          <cell r="L396" t="str">
            <v/>
          </cell>
          <cell r="M396" t="str">
            <v>2023-10-24 09:41:58</v>
          </cell>
          <cell r="N396" t="str">
            <v>2023-10-24 09:41:58</v>
          </cell>
          <cell r="O396" t="str">
            <v>单涛</v>
          </cell>
          <cell r="P396" t="str">
            <v/>
          </cell>
          <cell r="Q396" t="str">
            <v/>
          </cell>
          <cell r="R396" t="str">
            <v>否</v>
          </cell>
          <cell r="S396" t="str">
            <v/>
          </cell>
          <cell r="T396" t="str">
            <v/>
          </cell>
          <cell r="U396" t="str">
            <v/>
          </cell>
          <cell r="V396" t="str">
            <v/>
          </cell>
          <cell r="W396" t="str">
            <v/>
          </cell>
          <cell r="X396" t="str">
            <v/>
          </cell>
          <cell r="Y396" t="str">
            <v>1060400009</v>
          </cell>
          <cell r="Z396" t="str">
            <v>AESUB/400ml/blue</v>
          </cell>
          <cell r="AA396" t="str">
            <v/>
          </cell>
          <cell r="AB396" t="str">
            <v/>
          </cell>
          <cell r="AC396" t="str">
            <v/>
          </cell>
          <cell r="AD396" t="str">
            <v/>
          </cell>
          <cell r="AE396" t="str">
            <v/>
          </cell>
          <cell r="AF396" t="str">
            <v/>
          </cell>
          <cell r="AG396" t="str">
            <v/>
          </cell>
          <cell r="AH396" t="str">
            <v/>
          </cell>
          <cell r="AI396" t="str">
            <v/>
          </cell>
          <cell r="AJ396" t="str">
            <v/>
          </cell>
          <cell r="AK396" t="str">
            <v/>
          </cell>
        </row>
        <row r="397">
          <cell r="A397">
            <v>1300100117</v>
          </cell>
          <cell r="B397" t="str">
            <v>三维扫描系统 SC-J6M</v>
          </cell>
          <cell r="C397" t="str">
            <v/>
          </cell>
          <cell r="D397" t="str">
            <v>台</v>
          </cell>
          <cell r="E397" t="str">
            <v/>
          </cell>
          <cell r="F397" t="str">
            <v>三维扫描系统 SC-J6M</v>
          </cell>
          <cell r="G397" t="str">
            <v>3DMakerpro</v>
          </cell>
          <cell r="H397" t="str">
            <v>三维扫描仪-CN</v>
          </cell>
          <cell r="I397" t="str">
            <v>否</v>
          </cell>
          <cell r="J397" t="str">
            <v>否</v>
          </cell>
          <cell r="K397" t="str">
            <v>深圳积木易搭科技技术有限公司</v>
          </cell>
          <cell r="L397" t="str">
            <v/>
          </cell>
          <cell r="M397" t="str">
            <v>2023-10-20 16:00:41</v>
          </cell>
          <cell r="N397" t="str">
            <v>2024-03-26 17:03:36</v>
          </cell>
          <cell r="O397" t="str">
            <v>单涛</v>
          </cell>
          <cell r="P397" t="str">
            <v/>
          </cell>
          <cell r="Q397" t="str">
            <v/>
          </cell>
          <cell r="R397" t="str">
            <v>否</v>
          </cell>
          <cell r="S397" t="str">
            <v/>
          </cell>
          <cell r="T397" t="str">
            <v/>
          </cell>
          <cell r="U397" t="str">
            <v/>
          </cell>
          <cell r="V397" t="str">
            <v/>
          </cell>
          <cell r="W397" t="str">
            <v/>
          </cell>
          <cell r="X397" t="str">
            <v/>
          </cell>
          <cell r="Y397" t="str">
            <v>1300100117</v>
          </cell>
          <cell r="Z397" t="str">
            <v>SC-J6M</v>
          </cell>
          <cell r="AA397" t="str">
            <v/>
          </cell>
          <cell r="AB397">
            <v>52</v>
          </cell>
          <cell r="AC397">
            <v>35</v>
          </cell>
          <cell r="AD397">
            <v>19</v>
          </cell>
          <cell r="AE397">
            <v>34580</v>
          </cell>
          <cell r="AF397" t="str">
            <v>cm³</v>
          </cell>
          <cell r="AG397">
            <v>7.5</v>
          </cell>
          <cell r="AH397" t="str">
            <v>kg</v>
          </cell>
          <cell r="AI397" t="str">
            <v/>
          </cell>
          <cell r="AJ397" t="str">
            <v/>
          </cell>
          <cell r="AK397" t="str">
            <v>1PCS/1CTN</v>
          </cell>
        </row>
        <row r="398">
          <cell r="A398">
            <v>1300100058</v>
          </cell>
          <cell r="B398" t="str">
            <v>三维扫描系统 MP200HR</v>
          </cell>
          <cell r="C398" t="str">
            <v/>
          </cell>
          <cell r="D398" t="str">
            <v>台</v>
          </cell>
          <cell r="E398" t="str">
            <v/>
          </cell>
          <cell r="F398" t="str">
            <v>三维扫描系统 MP200HR</v>
          </cell>
          <cell r="G398" t="str">
            <v>3DMakerpro</v>
          </cell>
          <cell r="H398" t="str">
            <v>三维扫描仪-CN</v>
          </cell>
          <cell r="I398" t="str">
            <v>否</v>
          </cell>
          <cell r="J398" t="str">
            <v>否</v>
          </cell>
          <cell r="K398" t="str">
            <v>深圳积木易搭科技技术有限公司</v>
          </cell>
          <cell r="L398" t="str">
            <v/>
          </cell>
          <cell r="M398" t="str">
            <v>2023-10-20 16:00:04</v>
          </cell>
          <cell r="N398" t="str">
            <v>2023-10-20 16:00:04</v>
          </cell>
          <cell r="O398" t="str">
            <v>单涛</v>
          </cell>
          <cell r="P398" t="str">
            <v/>
          </cell>
          <cell r="Q398" t="str">
            <v/>
          </cell>
          <cell r="R398" t="str">
            <v>否</v>
          </cell>
          <cell r="S398" t="str">
            <v/>
          </cell>
          <cell r="T398" t="str">
            <v/>
          </cell>
          <cell r="U398" t="str">
            <v/>
          </cell>
          <cell r="V398" t="str">
            <v/>
          </cell>
          <cell r="W398" t="str">
            <v/>
          </cell>
          <cell r="X398" t="str">
            <v/>
          </cell>
          <cell r="Y398" t="str">
            <v>1300100058</v>
          </cell>
          <cell r="Z398" t="str">
            <v>MP200HR</v>
          </cell>
          <cell r="AA398" t="str">
            <v/>
          </cell>
          <cell r="AB398" t="str">
            <v/>
          </cell>
          <cell r="AC398" t="str">
            <v/>
          </cell>
          <cell r="AD398" t="str">
            <v/>
          </cell>
          <cell r="AE398" t="str">
            <v/>
          </cell>
          <cell r="AF398" t="str">
            <v/>
          </cell>
          <cell r="AG398" t="str">
            <v/>
          </cell>
          <cell r="AH398" t="str">
            <v/>
          </cell>
          <cell r="AI398" t="str">
            <v/>
          </cell>
          <cell r="AJ398" t="str">
            <v/>
          </cell>
          <cell r="AK398" t="str">
            <v/>
          </cell>
        </row>
        <row r="399">
          <cell r="A399">
            <v>1300100057</v>
          </cell>
          <cell r="B399" t="str">
            <v>三维扫描系统 MP200Pro</v>
          </cell>
          <cell r="C399" t="str">
            <v/>
          </cell>
          <cell r="D399" t="str">
            <v>台</v>
          </cell>
          <cell r="E399" t="str">
            <v/>
          </cell>
          <cell r="F399" t="str">
            <v>三维扫描系统 MP200Pro</v>
          </cell>
          <cell r="G399" t="str">
            <v>3DMakerpro</v>
          </cell>
          <cell r="H399" t="str">
            <v>三维扫描仪-CN</v>
          </cell>
          <cell r="I399" t="str">
            <v>否</v>
          </cell>
          <cell r="J399" t="str">
            <v>否</v>
          </cell>
          <cell r="K399" t="str">
            <v>深圳积木易搭科技技术有限公司</v>
          </cell>
          <cell r="L399" t="str">
            <v/>
          </cell>
          <cell r="M399" t="str">
            <v>2023-10-20 15:59:22</v>
          </cell>
          <cell r="N399" t="str">
            <v>2023-10-20 15:59:22</v>
          </cell>
          <cell r="O399" t="str">
            <v>单涛</v>
          </cell>
          <cell r="P399" t="str">
            <v/>
          </cell>
          <cell r="Q399" t="str">
            <v/>
          </cell>
          <cell r="R399" t="str">
            <v>否</v>
          </cell>
          <cell r="S399" t="str">
            <v/>
          </cell>
          <cell r="T399" t="str">
            <v/>
          </cell>
          <cell r="U399" t="str">
            <v/>
          </cell>
          <cell r="V399" t="str">
            <v/>
          </cell>
          <cell r="W399" t="str">
            <v/>
          </cell>
          <cell r="X399" t="str">
            <v/>
          </cell>
          <cell r="Y399" t="str">
            <v>1300100057</v>
          </cell>
          <cell r="Z399" t="str">
            <v>MP200Pro</v>
          </cell>
          <cell r="AA399" t="str">
            <v/>
          </cell>
          <cell r="AB399" t="str">
            <v/>
          </cell>
          <cell r="AC399" t="str">
            <v/>
          </cell>
          <cell r="AD399" t="str">
            <v/>
          </cell>
          <cell r="AE399" t="str">
            <v/>
          </cell>
          <cell r="AF399" t="str">
            <v/>
          </cell>
          <cell r="AG399" t="str">
            <v/>
          </cell>
          <cell r="AH399" t="str">
            <v/>
          </cell>
          <cell r="AI399" t="str">
            <v/>
          </cell>
          <cell r="AJ399" t="str">
            <v/>
          </cell>
          <cell r="AK399" t="str">
            <v/>
          </cell>
        </row>
        <row r="400">
          <cell r="A400">
            <v>1300100143</v>
          </cell>
          <cell r="B400" t="str">
            <v>自动化产品拍摄系统 MP-DZ-03</v>
          </cell>
          <cell r="C400" t="str">
            <v/>
          </cell>
          <cell r="D400" t="str">
            <v>台</v>
          </cell>
          <cell r="E400" t="str">
            <v/>
          </cell>
          <cell r="F400" t="str">
            <v>自动化产品拍摄系统 MP-DZ-03</v>
          </cell>
          <cell r="G400" t="str">
            <v>3DMakerpro</v>
          </cell>
          <cell r="H400" t="str">
            <v>三维扫描仪-CN</v>
          </cell>
          <cell r="I400" t="str">
            <v>否</v>
          </cell>
          <cell r="J400" t="str">
            <v>否</v>
          </cell>
          <cell r="K400" t="str">
            <v>深圳积木易搭科技技术有限公司</v>
          </cell>
          <cell r="L400" t="str">
            <v/>
          </cell>
          <cell r="M400" t="str">
            <v>2023-10-20 15:57:05</v>
          </cell>
          <cell r="N400" t="str">
            <v>2023-10-20 15:57:05</v>
          </cell>
          <cell r="O400" t="str">
            <v>单涛</v>
          </cell>
          <cell r="P400" t="str">
            <v/>
          </cell>
          <cell r="Q400" t="str">
            <v/>
          </cell>
          <cell r="R400" t="str">
            <v>否</v>
          </cell>
          <cell r="S400" t="str">
            <v/>
          </cell>
          <cell r="T400" t="str">
            <v/>
          </cell>
          <cell r="U400" t="str">
            <v/>
          </cell>
          <cell r="V400" t="str">
            <v/>
          </cell>
          <cell r="W400" t="str">
            <v/>
          </cell>
          <cell r="X400" t="str">
            <v/>
          </cell>
          <cell r="Y400" t="str">
            <v>1300100143</v>
          </cell>
          <cell r="Z400" t="str">
            <v>MP-DZ-03</v>
          </cell>
          <cell r="AA400" t="str">
            <v/>
          </cell>
          <cell r="AB400" t="str">
            <v/>
          </cell>
          <cell r="AC400" t="str">
            <v/>
          </cell>
          <cell r="AD400" t="str">
            <v/>
          </cell>
          <cell r="AE400" t="str">
            <v/>
          </cell>
          <cell r="AF400" t="str">
            <v/>
          </cell>
          <cell r="AG400" t="str">
            <v/>
          </cell>
          <cell r="AH400" t="str">
            <v/>
          </cell>
          <cell r="AI400" t="str">
            <v/>
          </cell>
          <cell r="AJ400" t="str">
            <v/>
          </cell>
          <cell r="AK400" t="str">
            <v/>
          </cell>
        </row>
        <row r="401">
          <cell r="A401">
            <v>1300100142</v>
          </cell>
          <cell r="B401" t="str">
            <v>自动化产品拍摄系统 MP200X</v>
          </cell>
          <cell r="C401" t="str">
            <v/>
          </cell>
          <cell r="D401" t="str">
            <v>台</v>
          </cell>
          <cell r="E401" t="str">
            <v/>
          </cell>
          <cell r="F401" t="str">
            <v>自动化产品拍摄系统 MP200X</v>
          </cell>
          <cell r="G401" t="str">
            <v/>
          </cell>
          <cell r="H401" t="str">
            <v>三维扫描仪-CN</v>
          </cell>
          <cell r="I401" t="str">
            <v>否</v>
          </cell>
          <cell r="J401" t="str">
            <v>否</v>
          </cell>
          <cell r="K401" t="str">
            <v>深圳积木易搭科技技术有限公司</v>
          </cell>
          <cell r="L401" t="str">
            <v/>
          </cell>
          <cell r="M401" t="str">
            <v>2023-10-20 15:54:34</v>
          </cell>
          <cell r="N401" t="str">
            <v>2023-10-20 15:54:34</v>
          </cell>
          <cell r="O401" t="str">
            <v>单涛</v>
          </cell>
          <cell r="P401" t="str">
            <v/>
          </cell>
          <cell r="Q401" t="str">
            <v/>
          </cell>
          <cell r="R401" t="str">
            <v>否</v>
          </cell>
          <cell r="S401" t="str">
            <v/>
          </cell>
          <cell r="T401" t="str">
            <v/>
          </cell>
          <cell r="U401" t="str">
            <v/>
          </cell>
          <cell r="V401" t="str">
            <v/>
          </cell>
          <cell r="W401" t="str">
            <v/>
          </cell>
          <cell r="X401" t="str">
            <v/>
          </cell>
          <cell r="Y401" t="str">
            <v>1300100142</v>
          </cell>
          <cell r="Z401" t="str">
            <v>默认规格</v>
          </cell>
          <cell r="AA401" t="str">
            <v/>
          </cell>
          <cell r="AB401" t="str">
            <v/>
          </cell>
          <cell r="AC401" t="str">
            <v/>
          </cell>
          <cell r="AD401" t="str">
            <v/>
          </cell>
          <cell r="AE401" t="str">
            <v/>
          </cell>
          <cell r="AF401" t="str">
            <v/>
          </cell>
          <cell r="AG401" t="str">
            <v/>
          </cell>
          <cell r="AH401" t="str">
            <v/>
          </cell>
          <cell r="AI401" t="str">
            <v/>
          </cell>
          <cell r="AJ401" t="str">
            <v/>
          </cell>
          <cell r="AK401" t="str">
            <v/>
          </cell>
        </row>
        <row r="402">
          <cell r="A402">
            <v>1050600001</v>
          </cell>
          <cell r="B402" t="str">
            <v>树脂大卫头像(带纸盒)</v>
          </cell>
          <cell r="C402" t="str">
            <v/>
          </cell>
          <cell r="D402" t="str">
            <v>个</v>
          </cell>
          <cell r="E402" t="str">
            <v/>
          </cell>
          <cell r="F402" t="str">
            <v>树脂大卫头像(带纸盒)</v>
          </cell>
          <cell r="G402" t="str">
            <v/>
          </cell>
          <cell r="H402" t="str">
            <v>其它物料</v>
          </cell>
          <cell r="I402" t="str">
            <v>否</v>
          </cell>
          <cell r="J402" t="str">
            <v>否</v>
          </cell>
          <cell r="K402" t="str">
            <v>深圳积木易搭科技技术有限公司</v>
          </cell>
          <cell r="L402" t="str">
            <v/>
          </cell>
          <cell r="M402" t="str">
            <v>2023-10-17 15:59:32</v>
          </cell>
          <cell r="N402" t="str">
            <v>2024-10-28 15:32:44</v>
          </cell>
          <cell r="O402" t="str">
            <v>单涛</v>
          </cell>
          <cell r="P402" t="str">
            <v>单涛</v>
          </cell>
          <cell r="Q402" t="str">
            <v/>
          </cell>
          <cell r="R402" t="str">
            <v>否</v>
          </cell>
          <cell r="S402" t="str">
            <v/>
          </cell>
          <cell r="T402" t="str">
            <v/>
          </cell>
          <cell r="U402" t="str">
            <v/>
          </cell>
          <cell r="V402" t="str">
            <v/>
          </cell>
          <cell r="W402" t="str">
            <v/>
          </cell>
          <cell r="X402" t="str">
            <v/>
          </cell>
          <cell r="Y402" t="str">
            <v>1050600001</v>
          </cell>
          <cell r="Z402" t="str">
            <v>-</v>
          </cell>
          <cell r="AA402" t="str">
            <v/>
          </cell>
          <cell r="AB402">
            <v>10</v>
          </cell>
          <cell r="AC402">
            <v>10</v>
          </cell>
          <cell r="AD402">
            <v>15</v>
          </cell>
          <cell r="AE402">
            <v>1500</v>
          </cell>
          <cell r="AF402" t="str">
            <v>cm³</v>
          </cell>
          <cell r="AG402">
            <v>0.2</v>
          </cell>
          <cell r="AH402" t="str">
            <v>kg</v>
          </cell>
          <cell r="AI402" t="str">
            <v/>
          </cell>
          <cell r="AJ402" t="str">
            <v/>
          </cell>
          <cell r="AK402" t="str">
            <v>48PCS/CTNS</v>
          </cell>
        </row>
        <row r="403">
          <cell r="A403">
            <v>2010700073</v>
          </cell>
          <cell r="B403" t="str">
            <v>笔记本电脑</v>
          </cell>
          <cell r="C403" t="str">
            <v/>
          </cell>
          <cell r="D403" t="str">
            <v>台</v>
          </cell>
          <cell r="E403" t="str">
            <v/>
          </cell>
          <cell r="F403" t="str">
            <v>联想/Y7000P/13代英特尔酷睿/16英寸 电竞游戏本/i7-13620H 16G1T RTX4060</v>
          </cell>
          <cell r="G403" t="str">
            <v/>
          </cell>
          <cell r="H403" t="str">
            <v>其它物料</v>
          </cell>
          <cell r="I403" t="str">
            <v>否</v>
          </cell>
          <cell r="J403" t="str">
            <v>否</v>
          </cell>
          <cell r="K403" t="str">
            <v>深圳积木易搭科技技术有限公司</v>
          </cell>
          <cell r="L403" t="str">
            <v/>
          </cell>
          <cell r="M403" t="str">
            <v>2023-10-12 09:06:35</v>
          </cell>
          <cell r="N403" t="str">
            <v>2023-10-12 09:06:35</v>
          </cell>
          <cell r="O403" t="str">
            <v>单涛</v>
          </cell>
          <cell r="P403" t="str">
            <v/>
          </cell>
          <cell r="Q403" t="str">
            <v/>
          </cell>
          <cell r="R403" t="str">
            <v>否</v>
          </cell>
          <cell r="S403" t="str">
            <v/>
          </cell>
          <cell r="T403" t="str">
            <v/>
          </cell>
          <cell r="U403" t="str">
            <v/>
          </cell>
          <cell r="V403" t="str">
            <v/>
          </cell>
          <cell r="W403" t="str">
            <v/>
          </cell>
          <cell r="X403" t="str">
            <v/>
          </cell>
          <cell r="Y403" t="str">
            <v>2010700073</v>
          </cell>
          <cell r="Z403" t="str">
            <v>联想/Y7000P/13代英特尔酷睿/16英寸 电竞游戏本/i7-13620H 16G1T RTX4060</v>
          </cell>
          <cell r="AA403" t="str">
            <v/>
          </cell>
          <cell r="AB403" t="str">
            <v/>
          </cell>
          <cell r="AC403" t="str">
            <v/>
          </cell>
          <cell r="AD403" t="str">
            <v/>
          </cell>
          <cell r="AE403" t="str">
            <v/>
          </cell>
          <cell r="AF403" t="str">
            <v/>
          </cell>
          <cell r="AG403" t="str">
            <v/>
          </cell>
          <cell r="AH403" t="str">
            <v/>
          </cell>
          <cell r="AI403" t="str">
            <v/>
          </cell>
          <cell r="AJ403" t="str">
            <v/>
          </cell>
          <cell r="AK403" t="str">
            <v/>
          </cell>
        </row>
        <row r="404">
          <cell r="A404">
            <v>1300100056</v>
          </cell>
          <cell r="B404" t="str">
            <v>自动化产品拍摄系统 MP200</v>
          </cell>
          <cell r="C404" t="str">
            <v/>
          </cell>
          <cell r="D404" t="str">
            <v>台</v>
          </cell>
          <cell r="E404" t="str">
            <v/>
          </cell>
          <cell r="F404" t="str">
            <v>自动化产品拍摄系统 MP200</v>
          </cell>
          <cell r="G404" t="str">
            <v>3DMakerpro</v>
          </cell>
          <cell r="H404" t="str">
            <v>三维扫描仪-CN</v>
          </cell>
          <cell r="I404" t="str">
            <v>否</v>
          </cell>
          <cell r="J404" t="str">
            <v>否</v>
          </cell>
          <cell r="K404" t="str">
            <v>深圳积木易搭科技技术有限公司</v>
          </cell>
          <cell r="L404" t="str">
            <v/>
          </cell>
          <cell r="M404" t="str">
            <v>2023-10-09 11:27:22</v>
          </cell>
          <cell r="N404" t="str">
            <v>2023-10-20 15:55:11</v>
          </cell>
          <cell r="O404" t="str">
            <v>单涛</v>
          </cell>
          <cell r="P404" t="str">
            <v>单涛</v>
          </cell>
          <cell r="Q404" t="str">
            <v/>
          </cell>
          <cell r="R404" t="str">
            <v>否</v>
          </cell>
          <cell r="S404" t="str">
            <v/>
          </cell>
          <cell r="T404" t="str">
            <v/>
          </cell>
          <cell r="U404" t="str">
            <v/>
          </cell>
          <cell r="V404" t="str">
            <v/>
          </cell>
          <cell r="W404" t="str">
            <v/>
          </cell>
          <cell r="X404" t="str">
            <v/>
          </cell>
          <cell r="Y404" t="str">
            <v>1300100056</v>
          </cell>
          <cell r="Z404" t="str">
            <v>MP200</v>
          </cell>
          <cell r="AA404" t="str">
            <v/>
          </cell>
          <cell r="AB404" t="str">
            <v/>
          </cell>
          <cell r="AC404" t="str">
            <v/>
          </cell>
          <cell r="AD404" t="str">
            <v/>
          </cell>
          <cell r="AE404" t="str">
            <v/>
          </cell>
          <cell r="AF404" t="str">
            <v/>
          </cell>
          <cell r="AG404" t="str">
            <v/>
          </cell>
          <cell r="AH404" t="str">
            <v/>
          </cell>
          <cell r="AI404" t="str">
            <v/>
          </cell>
          <cell r="AJ404" t="str">
            <v/>
          </cell>
          <cell r="AK404" t="str">
            <v/>
          </cell>
        </row>
        <row r="405">
          <cell r="A405" t="str">
            <v>1040600007B</v>
          </cell>
          <cell r="B405" t="str">
            <v>美规插头黑色</v>
          </cell>
          <cell r="C405" t="str">
            <v/>
          </cell>
          <cell r="D405" t="str">
            <v>台</v>
          </cell>
          <cell r="E405" t="str">
            <v/>
          </cell>
          <cell r="F405" t="str">
            <v>美规插头黑色</v>
          </cell>
          <cell r="G405" t="str">
            <v>3DMakerpro</v>
          </cell>
          <cell r="H405" t="str">
            <v>三维扫描仪备品备件</v>
          </cell>
          <cell r="I405" t="str">
            <v>否</v>
          </cell>
          <cell r="J405" t="str">
            <v>否</v>
          </cell>
          <cell r="K405" t="str">
            <v>深圳积木易搭科技技术有限公司</v>
          </cell>
          <cell r="L405" t="str">
            <v/>
          </cell>
          <cell r="M405" t="str">
            <v>2023-10-09 09:47:27</v>
          </cell>
          <cell r="N405" t="str">
            <v>2023-10-09 09:47:27</v>
          </cell>
          <cell r="O405" t="str">
            <v>单涛</v>
          </cell>
          <cell r="P405" t="str">
            <v/>
          </cell>
          <cell r="Q405" t="str">
            <v/>
          </cell>
          <cell r="R405" t="str">
            <v>否</v>
          </cell>
          <cell r="S405" t="str">
            <v/>
          </cell>
          <cell r="T405" t="str">
            <v/>
          </cell>
          <cell r="U405" t="str">
            <v/>
          </cell>
          <cell r="V405" t="str">
            <v/>
          </cell>
          <cell r="W405" t="str">
            <v/>
          </cell>
          <cell r="X405" t="str">
            <v/>
          </cell>
          <cell r="Y405" t="str">
            <v>1040600007B</v>
          </cell>
          <cell r="Z405" t="str">
            <v>美规插头黑色</v>
          </cell>
          <cell r="AA405" t="str">
            <v/>
          </cell>
          <cell r="AB405" t="str">
            <v/>
          </cell>
          <cell r="AC405" t="str">
            <v/>
          </cell>
          <cell r="AD405" t="str">
            <v/>
          </cell>
          <cell r="AE405" t="str">
            <v/>
          </cell>
          <cell r="AF405" t="str">
            <v/>
          </cell>
          <cell r="AG405" t="str">
            <v/>
          </cell>
          <cell r="AH405" t="str">
            <v/>
          </cell>
          <cell r="AI405" t="str">
            <v/>
          </cell>
          <cell r="AJ405" t="str">
            <v/>
          </cell>
          <cell r="AK405" t="str">
            <v/>
          </cell>
        </row>
        <row r="406">
          <cell r="A406">
            <v>1040600057</v>
          </cell>
          <cell r="B406" t="str">
            <v>PD电源</v>
          </cell>
          <cell r="C406" t="str">
            <v>PD Adapter</v>
          </cell>
          <cell r="D406" t="str">
            <v>个</v>
          </cell>
          <cell r="E406" t="str">
            <v>6975925241286</v>
          </cell>
          <cell r="F406" t="str">
            <v>PD电源</v>
          </cell>
          <cell r="G406" t="str">
            <v>3DMakerpro</v>
          </cell>
          <cell r="H406" t="str">
            <v>三维扫描仪备品备件</v>
          </cell>
          <cell r="I406" t="str">
            <v>否</v>
          </cell>
          <cell r="J406" t="str">
            <v>否</v>
          </cell>
          <cell r="K406" t="str">
            <v>深圳积木易搭科技技术有限公司</v>
          </cell>
          <cell r="L406" t="str">
            <v/>
          </cell>
          <cell r="M406" t="str">
            <v>2023-10-08 14:30:14</v>
          </cell>
          <cell r="N406" t="str">
            <v>2025-06-13 14:24:42</v>
          </cell>
          <cell r="O406" t="str">
            <v>单涛</v>
          </cell>
          <cell r="P406" t="str">
            <v>单涛</v>
          </cell>
          <cell r="Q406" t="str">
            <v/>
          </cell>
          <cell r="R406" t="str">
            <v>否</v>
          </cell>
          <cell r="S406" t="str">
            <v/>
          </cell>
          <cell r="T406" t="str">
            <v/>
          </cell>
          <cell r="U406" t="str">
            <v/>
          </cell>
          <cell r="V406" t="str">
            <v/>
          </cell>
          <cell r="W406" t="str">
            <v/>
          </cell>
          <cell r="X406" t="str">
            <v/>
          </cell>
          <cell r="Y406" t="str">
            <v>1040600057</v>
          </cell>
          <cell r="Z406" t="str">
            <v>RH-PD65W-1</v>
          </cell>
          <cell r="AA406" t="str">
            <v>6975925241286</v>
          </cell>
          <cell r="AB406">
            <v>20</v>
          </cell>
          <cell r="AC406">
            <v>6</v>
          </cell>
          <cell r="AD406">
            <v>6</v>
          </cell>
          <cell r="AE406">
            <v>720</v>
          </cell>
          <cell r="AF406" t="str">
            <v>cm³</v>
          </cell>
          <cell r="AG406">
            <v>0.15</v>
          </cell>
          <cell r="AH406" t="str">
            <v>kg</v>
          </cell>
          <cell r="AI406">
            <v>52.5</v>
          </cell>
          <cell r="AJ406" t="str">
            <v>8504401400</v>
          </cell>
          <cell r="AK406" t="str">
            <v>输入:100-240V~50/60Hz1.5A
输出：3.25A  65W</v>
          </cell>
        </row>
        <row r="407">
          <cell r="A407">
            <v>1010100025</v>
          </cell>
          <cell r="B407" t="str">
            <v>转盘</v>
          </cell>
          <cell r="C407" t="str">
            <v>Turntable</v>
          </cell>
          <cell r="D407" t="str">
            <v>台</v>
          </cell>
          <cell r="E407" t="str">
            <v/>
          </cell>
          <cell r="F407" t="str">
            <v>转盘</v>
          </cell>
          <cell r="G407" t="str">
            <v>3DMakerpro</v>
          </cell>
          <cell r="H407" t="str">
            <v>三维扫描仪备品备件</v>
          </cell>
          <cell r="I407" t="str">
            <v>否</v>
          </cell>
          <cell r="J407" t="str">
            <v>否</v>
          </cell>
          <cell r="K407" t="str">
            <v>深圳积木易搭科技技术有限公司</v>
          </cell>
          <cell r="L407" t="str">
            <v/>
          </cell>
          <cell r="M407" t="str">
            <v>2023-09-28 17:25:38</v>
          </cell>
          <cell r="N407" t="str">
            <v>2023-09-28 17:25:38</v>
          </cell>
          <cell r="O407" t="str">
            <v>单涛</v>
          </cell>
          <cell r="P407" t="str">
            <v/>
          </cell>
          <cell r="Q407" t="str">
            <v/>
          </cell>
          <cell r="R407" t="str">
            <v>否</v>
          </cell>
          <cell r="S407" t="str">
            <v/>
          </cell>
          <cell r="T407" t="str">
            <v/>
          </cell>
          <cell r="U407" t="str">
            <v/>
          </cell>
          <cell r="V407" t="str">
            <v/>
          </cell>
          <cell r="W407" t="str">
            <v/>
          </cell>
          <cell r="X407" t="str">
            <v/>
          </cell>
          <cell r="Y407" t="str">
            <v>1010100025</v>
          </cell>
          <cell r="Z407" t="str">
            <v>无</v>
          </cell>
          <cell r="AA407" t="str">
            <v/>
          </cell>
          <cell r="AB407" t="str">
            <v/>
          </cell>
          <cell r="AC407" t="str">
            <v/>
          </cell>
          <cell r="AD407" t="str">
            <v/>
          </cell>
          <cell r="AE407" t="str">
            <v/>
          </cell>
          <cell r="AF407" t="str">
            <v/>
          </cell>
          <cell r="AG407" t="str">
            <v/>
          </cell>
          <cell r="AH407" t="str">
            <v/>
          </cell>
          <cell r="AI407" t="str">
            <v/>
          </cell>
          <cell r="AJ407" t="str">
            <v/>
          </cell>
          <cell r="AK407" t="str">
            <v/>
          </cell>
        </row>
        <row r="408">
          <cell r="A408">
            <v>1200100039</v>
          </cell>
          <cell r="B408" t="str">
            <v>Connet手机云台整机</v>
          </cell>
          <cell r="C408" t="str">
            <v/>
          </cell>
          <cell r="D408" t="str">
            <v>台</v>
          </cell>
          <cell r="E408" t="str">
            <v/>
          </cell>
          <cell r="F408" t="str">
            <v>Mole connet手机云台整机</v>
          </cell>
          <cell r="G408" t="str">
            <v>3DMakerpro</v>
          </cell>
          <cell r="H408" t="str">
            <v>三维扫描仪备品备件</v>
          </cell>
          <cell r="I408" t="str">
            <v>否</v>
          </cell>
          <cell r="J408" t="str">
            <v>否</v>
          </cell>
          <cell r="K408" t="str">
            <v>深圳积木易搭科技技术有限公司</v>
          </cell>
          <cell r="L408" t="str">
            <v/>
          </cell>
          <cell r="M408" t="str">
            <v>2023-09-28 15:57:47</v>
          </cell>
          <cell r="N408" t="str">
            <v>2024-03-13 18:36:50</v>
          </cell>
          <cell r="O408" t="str">
            <v>单涛</v>
          </cell>
          <cell r="P408" t="str">
            <v>单涛</v>
          </cell>
          <cell r="Q408" t="str">
            <v/>
          </cell>
          <cell r="R408" t="str">
            <v>否</v>
          </cell>
          <cell r="S408" t="str">
            <v/>
          </cell>
          <cell r="T408" t="str">
            <v/>
          </cell>
          <cell r="U408" t="str">
            <v/>
          </cell>
          <cell r="V408" t="str">
            <v/>
          </cell>
          <cell r="W408" t="str">
            <v/>
          </cell>
          <cell r="X408" t="str">
            <v/>
          </cell>
          <cell r="Y408" t="str">
            <v>1200100039</v>
          </cell>
          <cell r="Z408" t="str">
            <v>无</v>
          </cell>
          <cell r="AA408" t="str">
            <v/>
          </cell>
          <cell r="AB408" t="str">
            <v/>
          </cell>
          <cell r="AC408" t="str">
            <v/>
          </cell>
          <cell r="AD408" t="str">
            <v/>
          </cell>
          <cell r="AE408" t="str">
            <v/>
          </cell>
          <cell r="AF408" t="str">
            <v/>
          </cell>
          <cell r="AG408" t="str">
            <v/>
          </cell>
          <cell r="AH408" t="str">
            <v/>
          </cell>
          <cell r="AI408" t="str">
            <v/>
          </cell>
          <cell r="AJ408" t="str">
            <v>9006919900</v>
          </cell>
          <cell r="AK408" t="str">
            <v/>
          </cell>
        </row>
        <row r="409">
          <cell r="A409">
            <v>1200100009</v>
          </cell>
          <cell r="B409" t="str">
            <v>MP80三脚架总成</v>
          </cell>
          <cell r="C409" t="str">
            <v/>
          </cell>
          <cell r="D409" t="str">
            <v>个</v>
          </cell>
          <cell r="E409" t="str">
            <v/>
          </cell>
          <cell r="F409" t="str">
            <v>MP80三脚架总成</v>
          </cell>
          <cell r="G409" t="str">
            <v>3DMakerpro</v>
          </cell>
          <cell r="H409" t="str">
            <v>三维扫描仪备品备件</v>
          </cell>
          <cell r="I409" t="str">
            <v>否</v>
          </cell>
          <cell r="J409" t="str">
            <v>否</v>
          </cell>
          <cell r="K409" t="str">
            <v>深圳积木易搭科技技术有限公司</v>
          </cell>
          <cell r="L409" t="str">
            <v/>
          </cell>
          <cell r="M409" t="str">
            <v>2023-09-27 14:42:33</v>
          </cell>
          <cell r="N409" t="str">
            <v>2023-11-01 11:29:25</v>
          </cell>
          <cell r="O409" t="str">
            <v>单涛</v>
          </cell>
          <cell r="P409" t="str">
            <v>单涛</v>
          </cell>
          <cell r="Q409" t="str">
            <v/>
          </cell>
          <cell r="R409" t="str">
            <v>否</v>
          </cell>
          <cell r="S409" t="str">
            <v/>
          </cell>
          <cell r="T409" t="str">
            <v/>
          </cell>
          <cell r="U409" t="str">
            <v/>
          </cell>
          <cell r="V409" t="str">
            <v/>
          </cell>
          <cell r="W409" t="str">
            <v/>
          </cell>
          <cell r="X409" t="str">
            <v/>
          </cell>
          <cell r="Y409" t="str">
            <v>1200100009</v>
          </cell>
          <cell r="Z409" t="str">
            <v>铝型材4040黑色、1870mmX840mmX800mm</v>
          </cell>
          <cell r="AA409" t="str">
            <v/>
          </cell>
          <cell r="AB409" t="str">
            <v/>
          </cell>
          <cell r="AC409" t="str">
            <v/>
          </cell>
          <cell r="AD409" t="str">
            <v/>
          </cell>
          <cell r="AE409" t="str">
            <v/>
          </cell>
          <cell r="AF409" t="str">
            <v/>
          </cell>
          <cell r="AG409" t="str">
            <v/>
          </cell>
          <cell r="AH409" t="str">
            <v/>
          </cell>
          <cell r="AI409" t="str">
            <v/>
          </cell>
          <cell r="AJ409" t="str">
            <v>9620009000</v>
          </cell>
          <cell r="AK409" t="str">
            <v/>
          </cell>
        </row>
        <row r="410">
          <cell r="A410">
            <v>1021900085</v>
          </cell>
          <cell r="B410" t="str">
            <v>一体线缆</v>
          </cell>
          <cell r="C410" t="str">
            <v/>
          </cell>
          <cell r="D410" t="str">
            <v>根</v>
          </cell>
          <cell r="E410" t="str">
            <v/>
          </cell>
          <cell r="F410" t="str">
            <v>Mole一体线（无销售包装）</v>
          </cell>
          <cell r="G410" t="str">
            <v>3DMakerpro</v>
          </cell>
          <cell r="H410" t="str">
            <v>三维扫描仪备品备件</v>
          </cell>
          <cell r="I410" t="str">
            <v>否</v>
          </cell>
          <cell r="J410" t="str">
            <v>否</v>
          </cell>
          <cell r="K410" t="str">
            <v>深圳积木易搭科技技术有限公司</v>
          </cell>
          <cell r="L410" t="str">
            <v/>
          </cell>
          <cell r="M410" t="str">
            <v>2023-09-27 14:05:11</v>
          </cell>
          <cell r="N410" t="str">
            <v>2024-03-18 14:19:38</v>
          </cell>
          <cell r="O410" t="str">
            <v>单涛</v>
          </cell>
          <cell r="P410" t="str">
            <v>单涛</v>
          </cell>
          <cell r="Q410" t="str">
            <v/>
          </cell>
          <cell r="R410" t="str">
            <v>否</v>
          </cell>
          <cell r="S410" t="str">
            <v/>
          </cell>
          <cell r="T410" t="str">
            <v/>
          </cell>
          <cell r="U410" t="str">
            <v/>
          </cell>
          <cell r="V410" t="str">
            <v/>
          </cell>
          <cell r="W410" t="str">
            <v/>
          </cell>
          <cell r="X410" t="str">
            <v/>
          </cell>
          <cell r="Y410" t="str">
            <v>1021900085</v>
          </cell>
          <cell r="Z410" t="str">
            <v>无</v>
          </cell>
          <cell r="AA410" t="str">
            <v/>
          </cell>
          <cell r="AB410" t="str">
            <v/>
          </cell>
          <cell r="AC410" t="str">
            <v/>
          </cell>
          <cell r="AD410" t="str">
            <v/>
          </cell>
          <cell r="AE410" t="str">
            <v/>
          </cell>
          <cell r="AF410" t="str">
            <v/>
          </cell>
          <cell r="AG410" t="str">
            <v/>
          </cell>
          <cell r="AH410" t="str">
            <v/>
          </cell>
          <cell r="AI410" t="str">
            <v/>
          </cell>
          <cell r="AJ410" t="str">
            <v>8544421100</v>
          </cell>
          <cell r="AK410" t="str">
            <v/>
          </cell>
        </row>
        <row r="411">
          <cell r="A411">
            <v>1021900096</v>
          </cell>
          <cell r="B411" t="str">
            <v>USB3.0线</v>
          </cell>
          <cell r="C411" t="str">
            <v/>
          </cell>
          <cell r="D411" t="str">
            <v>根</v>
          </cell>
          <cell r="E411" t="str">
            <v/>
          </cell>
          <cell r="F411" t="str">
            <v>USB3.0线</v>
          </cell>
          <cell r="G411" t="str">
            <v>3DMakerpro</v>
          </cell>
          <cell r="H411" t="str">
            <v>三维扫描仪备品备件</v>
          </cell>
          <cell r="I411" t="str">
            <v>否</v>
          </cell>
          <cell r="J411" t="str">
            <v>否</v>
          </cell>
          <cell r="K411" t="str">
            <v>深圳积木易搭科技技术有限公司</v>
          </cell>
          <cell r="L411" t="str">
            <v/>
          </cell>
          <cell r="M411" t="str">
            <v>2023-09-26 09:19:25</v>
          </cell>
          <cell r="N411" t="str">
            <v>2023-09-26 16:36:04</v>
          </cell>
          <cell r="O411" t="str">
            <v>单涛</v>
          </cell>
          <cell r="P411" t="str">
            <v>单涛</v>
          </cell>
          <cell r="Q411" t="str">
            <v/>
          </cell>
          <cell r="R411" t="str">
            <v>否</v>
          </cell>
          <cell r="S411" t="str">
            <v/>
          </cell>
          <cell r="T411" t="str">
            <v/>
          </cell>
          <cell r="U411" t="str">
            <v/>
          </cell>
          <cell r="V411" t="str">
            <v/>
          </cell>
          <cell r="W411" t="str">
            <v/>
          </cell>
          <cell r="X411" t="str">
            <v/>
          </cell>
          <cell r="Y411" t="str">
            <v>1021900096</v>
          </cell>
          <cell r="Z411" t="str">
            <v>无</v>
          </cell>
          <cell r="AA411" t="str">
            <v/>
          </cell>
          <cell r="AB411" t="str">
            <v/>
          </cell>
          <cell r="AC411" t="str">
            <v/>
          </cell>
          <cell r="AD411" t="str">
            <v/>
          </cell>
          <cell r="AE411" t="str">
            <v/>
          </cell>
          <cell r="AF411" t="str">
            <v/>
          </cell>
          <cell r="AG411" t="str">
            <v/>
          </cell>
          <cell r="AH411" t="str">
            <v/>
          </cell>
          <cell r="AI411" t="str">
            <v/>
          </cell>
          <cell r="AJ411" t="str">
            <v>8544421100</v>
          </cell>
          <cell r="AK411" t="str">
            <v/>
          </cell>
        </row>
        <row r="412">
          <cell r="A412">
            <v>1040600019</v>
          </cell>
          <cell r="B412" t="str">
            <v>MP80电源输入线</v>
          </cell>
          <cell r="C412" t="str">
            <v/>
          </cell>
          <cell r="D412" t="str">
            <v>根</v>
          </cell>
          <cell r="E412" t="str">
            <v/>
          </cell>
          <cell r="F412" t="str">
            <v>MP80电源输入线</v>
          </cell>
          <cell r="G412" t="str">
            <v>3DMakerpro</v>
          </cell>
          <cell r="H412" t="str">
            <v>三维扫描仪备品备件</v>
          </cell>
          <cell r="I412" t="str">
            <v>否</v>
          </cell>
          <cell r="J412" t="str">
            <v>否</v>
          </cell>
          <cell r="K412" t="str">
            <v>深圳积木易搭科技技术有限公司</v>
          </cell>
          <cell r="L412" t="str">
            <v/>
          </cell>
          <cell r="M412" t="str">
            <v>2023-09-26 09:18:19</v>
          </cell>
          <cell r="N412" t="str">
            <v>2024-03-18 14:19:48</v>
          </cell>
          <cell r="O412" t="str">
            <v>单涛</v>
          </cell>
          <cell r="P412" t="str">
            <v>单涛</v>
          </cell>
          <cell r="Q412" t="str">
            <v/>
          </cell>
          <cell r="R412" t="str">
            <v>否</v>
          </cell>
          <cell r="S412" t="str">
            <v/>
          </cell>
          <cell r="T412" t="str">
            <v/>
          </cell>
          <cell r="U412" t="str">
            <v/>
          </cell>
          <cell r="V412" t="str">
            <v/>
          </cell>
          <cell r="W412" t="str">
            <v/>
          </cell>
          <cell r="X412" t="str">
            <v/>
          </cell>
          <cell r="Y412" t="str">
            <v>1040600019</v>
          </cell>
          <cell r="Z412" t="str">
            <v>无</v>
          </cell>
          <cell r="AA412" t="str">
            <v/>
          </cell>
          <cell r="AB412" t="str">
            <v/>
          </cell>
          <cell r="AC412" t="str">
            <v/>
          </cell>
          <cell r="AD412" t="str">
            <v/>
          </cell>
          <cell r="AE412" t="str">
            <v/>
          </cell>
          <cell r="AF412" t="str">
            <v/>
          </cell>
          <cell r="AG412" t="str">
            <v/>
          </cell>
          <cell r="AH412" t="str">
            <v/>
          </cell>
          <cell r="AI412" t="str">
            <v/>
          </cell>
          <cell r="AJ412" t="str">
            <v>8544421100</v>
          </cell>
          <cell r="AK412" t="str">
            <v/>
          </cell>
        </row>
        <row r="413">
          <cell r="A413">
            <v>1050500008</v>
          </cell>
          <cell r="B413" t="str">
            <v>90D假电池</v>
          </cell>
          <cell r="C413" t="str">
            <v/>
          </cell>
          <cell r="D413" t="str">
            <v>台</v>
          </cell>
          <cell r="E413" t="str">
            <v/>
          </cell>
          <cell r="F413" t="str">
            <v>90D假电池</v>
          </cell>
          <cell r="G413" t="str">
            <v/>
          </cell>
          <cell r="H413" t="str">
            <v>三维扫描仪备品备件</v>
          </cell>
          <cell r="I413" t="str">
            <v>否</v>
          </cell>
          <cell r="J413" t="str">
            <v>否</v>
          </cell>
          <cell r="K413" t="str">
            <v>深圳积木易搭科技技术有限公司</v>
          </cell>
          <cell r="L413" t="str">
            <v/>
          </cell>
          <cell r="M413" t="str">
            <v>2023-09-21 17:45:38</v>
          </cell>
          <cell r="N413" t="str">
            <v>2023-09-21 17:45:38</v>
          </cell>
          <cell r="O413" t="str">
            <v>单涛</v>
          </cell>
          <cell r="P413" t="str">
            <v/>
          </cell>
          <cell r="Q413" t="str">
            <v/>
          </cell>
          <cell r="R413" t="str">
            <v>否</v>
          </cell>
          <cell r="S413" t="str">
            <v/>
          </cell>
          <cell r="T413" t="str">
            <v/>
          </cell>
          <cell r="U413" t="str">
            <v/>
          </cell>
          <cell r="V413" t="str">
            <v/>
          </cell>
          <cell r="W413" t="str">
            <v/>
          </cell>
          <cell r="X413" t="str">
            <v/>
          </cell>
          <cell r="Y413" t="str">
            <v>1050500008</v>
          </cell>
          <cell r="Z413" t="str">
            <v>USB转mini usb/黑色/2米/绿联</v>
          </cell>
          <cell r="AA413" t="str">
            <v/>
          </cell>
          <cell r="AB413" t="str">
            <v/>
          </cell>
          <cell r="AC413" t="str">
            <v/>
          </cell>
          <cell r="AD413" t="str">
            <v/>
          </cell>
          <cell r="AE413" t="str">
            <v/>
          </cell>
          <cell r="AF413" t="str">
            <v/>
          </cell>
          <cell r="AG413" t="str">
            <v/>
          </cell>
          <cell r="AH413" t="str">
            <v/>
          </cell>
          <cell r="AI413" t="str">
            <v/>
          </cell>
          <cell r="AJ413" t="str">
            <v/>
          </cell>
          <cell r="AK413" t="str">
            <v/>
          </cell>
        </row>
        <row r="414">
          <cell r="A414">
            <v>1040600024</v>
          </cell>
          <cell r="B414" t="str">
            <v>MP80数据线</v>
          </cell>
          <cell r="C414" t="str">
            <v/>
          </cell>
          <cell r="D414" t="str">
            <v>根</v>
          </cell>
          <cell r="E414" t="str">
            <v/>
          </cell>
          <cell r="F414" t="str">
            <v>MP80数据线</v>
          </cell>
          <cell r="G414" t="str">
            <v/>
          </cell>
          <cell r="H414" t="str">
            <v>三维扫描仪备品备件</v>
          </cell>
          <cell r="I414" t="str">
            <v>否</v>
          </cell>
          <cell r="J414" t="str">
            <v>否</v>
          </cell>
          <cell r="K414" t="str">
            <v>深圳积木易搭科技技术有限公司</v>
          </cell>
          <cell r="L414" t="str">
            <v/>
          </cell>
          <cell r="M414" t="str">
            <v>2023-09-21 17:44:43</v>
          </cell>
          <cell r="N414" t="str">
            <v>2024-03-18 14:19:56</v>
          </cell>
          <cell r="O414" t="str">
            <v>单涛</v>
          </cell>
          <cell r="P414" t="str">
            <v>单涛</v>
          </cell>
          <cell r="Q414" t="str">
            <v/>
          </cell>
          <cell r="R414" t="str">
            <v>否</v>
          </cell>
          <cell r="S414" t="str">
            <v/>
          </cell>
          <cell r="T414" t="str">
            <v/>
          </cell>
          <cell r="U414" t="str">
            <v/>
          </cell>
          <cell r="V414" t="str">
            <v/>
          </cell>
          <cell r="W414" t="str">
            <v/>
          </cell>
          <cell r="X414" t="str">
            <v/>
          </cell>
          <cell r="Y414" t="str">
            <v>1040600024</v>
          </cell>
          <cell r="Z414" t="str">
            <v>USB转mini usb/黑色/2米/绿联</v>
          </cell>
          <cell r="AA414" t="str">
            <v/>
          </cell>
          <cell r="AB414" t="str">
            <v/>
          </cell>
          <cell r="AC414" t="str">
            <v/>
          </cell>
          <cell r="AD414" t="str">
            <v/>
          </cell>
          <cell r="AE414" t="str">
            <v/>
          </cell>
          <cell r="AF414" t="str">
            <v/>
          </cell>
          <cell r="AG414" t="str">
            <v/>
          </cell>
          <cell r="AH414" t="str">
            <v/>
          </cell>
          <cell r="AI414" t="str">
            <v/>
          </cell>
          <cell r="AJ414" t="str">
            <v>8544421100</v>
          </cell>
          <cell r="AK414" t="str">
            <v/>
          </cell>
        </row>
        <row r="415">
          <cell r="A415">
            <v>1020900025</v>
          </cell>
          <cell r="B415" t="str">
            <v>6D2单反相机</v>
          </cell>
          <cell r="C415" t="str">
            <v/>
          </cell>
          <cell r="D415" t="str">
            <v>台</v>
          </cell>
          <cell r="E415" t="str">
            <v/>
          </cell>
          <cell r="F415" t="str">
            <v>6D2单反相机</v>
          </cell>
          <cell r="G415" t="str">
            <v/>
          </cell>
          <cell r="H415" t="str">
            <v>三维扫描仪备品备件</v>
          </cell>
          <cell r="I415" t="str">
            <v>否</v>
          </cell>
          <cell r="J415" t="str">
            <v>否</v>
          </cell>
          <cell r="K415" t="str">
            <v>深圳积木易搭科技技术有限公司</v>
          </cell>
          <cell r="L415" t="str">
            <v/>
          </cell>
          <cell r="M415" t="str">
            <v>2023-09-21 17:43:42</v>
          </cell>
          <cell r="N415" t="str">
            <v>2023-09-21 17:43:42</v>
          </cell>
          <cell r="O415" t="str">
            <v>单涛</v>
          </cell>
          <cell r="P415" t="str">
            <v/>
          </cell>
          <cell r="Q415" t="str">
            <v/>
          </cell>
          <cell r="R415" t="str">
            <v>否</v>
          </cell>
          <cell r="S415" t="str">
            <v/>
          </cell>
          <cell r="T415" t="str">
            <v/>
          </cell>
          <cell r="U415" t="str">
            <v/>
          </cell>
          <cell r="V415" t="str">
            <v/>
          </cell>
          <cell r="W415" t="str">
            <v/>
          </cell>
          <cell r="X415" t="str">
            <v/>
          </cell>
          <cell r="Y415" t="str">
            <v>1020900025</v>
          </cell>
          <cell r="Z415" t="str">
            <v>佳能 EOS 6D Mark II 套机（EF 24-105mm f/4L IS II USM）</v>
          </cell>
          <cell r="AA415" t="str">
            <v/>
          </cell>
          <cell r="AB415" t="str">
            <v/>
          </cell>
          <cell r="AC415" t="str">
            <v/>
          </cell>
          <cell r="AD415" t="str">
            <v/>
          </cell>
          <cell r="AE415" t="str">
            <v/>
          </cell>
          <cell r="AF415" t="str">
            <v/>
          </cell>
          <cell r="AG415" t="str">
            <v/>
          </cell>
          <cell r="AH415" t="str">
            <v/>
          </cell>
          <cell r="AI415" t="str">
            <v/>
          </cell>
          <cell r="AJ415" t="str">
            <v/>
          </cell>
          <cell r="AK415" t="str">
            <v/>
          </cell>
        </row>
        <row r="416">
          <cell r="A416" t="str">
            <v>1040600005B</v>
          </cell>
          <cell r="B416" t="str">
            <v>电源适配器</v>
          </cell>
          <cell r="C416" t="str">
            <v/>
          </cell>
          <cell r="D416" t="str">
            <v>个</v>
          </cell>
          <cell r="E416" t="str">
            <v/>
          </cell>
          <cell r="F416" t="str">
            <v/>
          </cell>
          <cell r="G416" t="str">
            <v/>
          </cell>
          <cell r="H416" t="str">
            <v>三维扫描仪备品备件</v>
          </cell>
          <cell r="I416" t="str">
            <v>否</v>
          </cell>
          <cell r="J416" t="str">
            <v>否</v>
          </cell>
          <cell r="K416" t="str">
            <v>深圳积木易搭科技技术有限公司</v>
          </cell>
          <cell r="L416" t="str">
            <v/>
          </cell>
          <cell r="M416" t="str">
            <v>2023-09-18 18:10:43</v>
          </cell>
          <cell r="N416" t="str">
            <v>2023-12-25 14:32:53</v>
          </cell>
          <cell r="O416" t="str">
            <v>单涛</v>
          </cell>
          <cell r="P416" t="str">
            <v>单涛</v>
          </cell>
          <cell r="Q416" t="str">
            <v/>
          </cell>
          <cell r="R416" t="str">
            <v>否</v>
          </cell>
          <cell r="S416" t="str">
            <v/>
          </cell>
          <cell r="T416" t="str">
            <v/>
          </cell>
          <cell r="U416" t="str">
            <v/>
          </cell>
          <cell r="V416" t="str">
            <v/>
          </cell>
          <cell r="W416" t="str">
            <v/>
          </cell>
          <cell r="X416" t="str">
            <v/>
          </cell>
          <cell r="Y416" t="str">
            <v>1040600005B</v>
          </cell>
          <cell r="Z416" t="str">
            <v>DC12V 3A/黑色方形/5.5转2.5MM接头/成威源</v>
          </cell>
          <cell r="AA416" t="str">
            <v/>
          </cell>
          <cell r="AB416" t="str">
            <v/>
          </cell>
          <cell r="AC416" t="str">
            <v/>
          </cell>
          <cell r="AD416" t="str">
            <v/>
          </cell>
          <cell r="AE416" t="str">
            <v/>
          </cell>
          <cell r="AF416" t="str">
            <v/>
          </cell>
          <cell r="AG416" t="str">
            <v/>
          </cell>
          <cell r="AH416" t="str">
            <v/>
          </cell>
          <cell r="AI416" t="str">
            <v/>
          </cell>
          <cell r="AJ416" t="str">
            <v/>
          </cell>
          <cell r="AK416" t="str">
            <v/>
          </cell>
        </row>
        <row r="417">
          <cell r="A417">
            <v>1100100373</v>
          </cell>
          <cell r="B417" t="str">
            <v>Seal明信片</v>
          </cell>
          <cell r="C417" t="str">
            <v>Postcard for Seal</v>
          </cell>
          <cell r="D417" t="str">
            <v>张</v>
          </cell>
          <cell r="E417" t="str">
            <v/>
          </cell>
          <cell r="F417" t="str">
            <v>Postcard for Seal</v>
          </cell>
          <cell r="G417" t="str">
            <v>3DMakerpro</v>
          </cell>
          <cell r="H417" t="str">
            <v>赠品</v>
          </cell>
          <cell r="I417" t="str">
            <v>否</v>
          </cell>
          <cell r="J417" t="str">
            <v>否</v>
          </cell>
          <cell r="K417" t="str">
            <v>深圳积木易搭科技技术有限公司</v>
          </cell>
          <cell r="L417" t="str">
            <v/>
          </cell>
          <cell r="M417" t="str">
            <v>2023-08-10 13:34:48</v>
          </cell>
          <cell r="N417" t="str">
            <v>2023-08-11 10:10:29</v>
          </cell>
          <cell r="O417" t="str">
            <v>单涛</v>
          </cell>
          <cell r="P417" t="str">
            <v>单涛</v>
          </cell>
          <cell r="Q417" t="str">
            <v/>
          </cell>
          <cell r="R417" t="str">
            <v>否</v>
          </cell>
          <cell r="S417" t="str">
            <v/>
          </cell>
          <cell r="T417" t="str">
            <v/>
          </cell>
          <cell r="U417" t="str">
            <v/>
          </cell>
          <cell r="V417" t="str">
            <v/>
          </cell>
          <cell r="W417" t="str">
            <v/>
          </cell>
          <cell r="X417" t="str">
            <v/>
          </cell>
          <cell r="Y417" t="str">
            <v>1100100373</v>
          </cell>
          <cell r="Z417" t="str">
            <v>无</v>
          </cell>
          <cell r="AA417" t="str">
            <v/>
          </cell>
          <cell r="AB417">
            <v>16</v>
          </cell>
          <cell r="AC417">
            <v>12</v>
          </cell>
          <cell r="AD417">
            <v>0.5</v>
          </cell>
          <cell r="AE417">
            <v>96</v>
          </cell>
          <cell r="AF417" t="str">
            <v>cm³</v>
          </cell>
          <cell r="AG417">
            <v>0.01</v>
          </cell>
          <cell r="AH417" t="str">
            <v>kg</v>
          </cell>
          <cell r="AI417" t="str">
            <v/>
          </cell>
          <cell r="AJ417" t="str">
            <v/>
          </cell>
          <cell r="AK417" t="str">
            <v/>
          </cell>
        </row>
        <row r="418">
          <cell r="A418">
            <v>1200100011</v>
          </cell>
          <cell r="B418" t="str">
            <v>whale转台总成</v>
          </cell>
          <cell r="C418" t="str">
            <v>Turntable for Whale</v>
          </cell>
          <cell r="D418" t="str">
            <v>台</v>
          </cell>
          <cell r="E418" t="str">
            <v/>
          </cell>
          <cell r="F418" t="str">
            <v/>
          </cell>
          <cell r="G418" t="str">
            <v>3DMakerpro</v>
          </cell>
          <cell r="H418" t="str">
            <v>三维扫描仪备品备件</v>
          </cell>
          <cell r="I418" t="str">
            <v>否</v>
          </cell>
          <cell r="J418" t="str">
            <v>否</v>
          </cell>
          <cell r="K418" t="str">
            <v>深圳积木易搭科技技术有限公司</v>
          </cell>
          <cell r="L418" t="str">
            <v/>
          </cell>
          <cell r="M418" t="str">
            <v>2023-08-04 11:40:51</v>
          </cell>
          <cell r="N418" t="str">
            <v>2023-12-22 10:48:51</v>
          </cell>
          <cell r="O418" t="str">
            <v>单涛</v>
          </cell>
          <cell r="P418" t="str">
            <v>单涛</v>
          </cell>
          <cell r="Q418" t="str">
            <v/>
          </cell>
          <cell r="R418" t="str">
            <v>否</v>
          </cell>
          <cell r="S418" t="str">
            <v/>
          </cell>
          <cell r="T418" t="str">
            <v/>
          </cell>
          <cell r="U418" t="str">
            <v/>
          </cell>
          <cell r="V418" t="str">
            <v/>
          </cell>
          <cell r="W418" t="str">
            <v/>
          </cell>
          <cell r="X418" t="str">
            <v/>
          </cell>
          <cell r="Y418" t="str">
            <v>1200100011</v>
          </cell>
          <cell r="Z418" t="str">
            <v>-</v>
          </cell>
          <cell r="AA418" t="str">
            <v/>
          </cell>
          <cell r="AB418" t="str">
            <v/>
          </cell>
          <cell r="AC418" t="str">
            <v/>
          </cell>
          <cell r="AD418" t="str">
            <v/>
          </cell>
          <cell r="AE418" t="str">
            <v/>
          </cell>
          <cell r="AF418" t="str">
            <v/>
          </cell>
          <cell r="AG418" t="str">
            <v/>
          </cell>
          <cell r="AH418" t="str">
            <v/>
          </cell>
          <cell r="AI418" t="str">
            <v/>
          </cell>
          <cell r="AJ418" t="str">
            <v>90319000.90</v>
          </cell>
          <cell r="AK418" t="str">
            <v/>
          </cell>
        </row>
        <row r="419">
          <cell r="A419">
            <v>1200100063</v>
          </cell>
          <cell r="B419" t="str">
            <v>航插线组件</v>
          </cell>
          <cell r="C419" t="str">
            <v/>
          </cell>
          <cell r="D419" t="str">
            <v>根</v>
          </cell>
          <cell r="E419" t="str">
            <v/>
          </cell>
          <cell r="F419" t="str">
            <v>航插线组件（4芯/含4芯电缆+公座）</v>
          </cell>
          <cell r="G419" t="str">
            <v/>
          </cell>
          <cell r="H419" t="str">
            <v>三维扫描仪备品备件</v>
          </cell>
          <cell r="I419" t="str">
            <v>否</v>
          </cell>
          <cell r="J419" t="str">
            <v>否</v>
          </cell>
          <cell r="K419" t="str">
            <v>深圳积木易搭科技技术有限公司</v>
          </cell>
          <cell r="L419" t="str">
            <v/>
          </cell>
          <cell r="M419" t="str">
            <v>2023-07-21 12:24:08</v>
          </cell>
          <cell r="N419" t="str">
            <v>2024-02-18 09:46:38</v>
          </cell>
          <cell r="O419" t="str">
            <v>单涛</v>
          </cell>
          <cell r="P419" t="str">
            <v>单涛</v>
          </cell>
          <cell r="Q419" t="str">
            <v/>
          </cell>
          <cell r="R419" t="str">
            <v>否</v>
          </cell>
          <cell r="S419" t="str">
            <v/>
          </cell>
          <cell r="T419" t="str">
            <v/>
          </cell>
          <cell r="U419" t="str">
            <v/>
          </cell>
          <cell r="V419" t="str">
            <v/>
          </cell>
          <cell r="W419" t="str">
            <v/>
          </cell>
          <cell r="X419" t="str">
            <v/>
          </cell>
          <cell r="Y419" t="str">
            <v>1200100063</v>
          </cell>
          <cell r="Z419" t="str">
            <v>默认规格</v>
          </cell>
          <cell r="AA419" t="str">
            <v/>
          </cell>
          <cell r="AB419" t="str">
            <v/>
          </cell>
          <cell r="AC419" t="str">
            <v/>
          </cell>
          <cell r="AD419" t="str">
            <v/>
          </cell>
          <cell r="AE419" t="str">
            <v/>
          </cell>
          <cell r="AF419" t="str">
            <v/>
          </cell>
          <cell r="AG419" t="str">
            <v/>
          </cell>
          <cell r="AH419" t="str">
            <v/>
          </cell>
          <cell r="AI419" t="str">
            <v/>
          </cell>
          <cell r="AJ419" t="str">
            <v/>
          </cell>
          <cell r="AK419" t="str">
            <v/>
          </cell>
        </row>
        <row r="420">
          <cell r="A420">
            <v>1200100062</v>
          </cell>
          <cell r="B420" t="str">
            <v>航插线组件</v>
          </cell>
          <cell r="C420" t="str">
            <v/>
          </cell>
          <cell r="D420" t="str">
            <v>根</v>
          </cell>
          <cell r="E420" t="str">
            <v/>
          </cell>
          <cell r="F420" t="str">
            <v>航插线组件（2芯/含2芯电缆+公座）</v>
          </cell>
          <cell r="G420" t="str">
            <v/>
          </cell>
          <cell r="H420" t="str">
            <v>三维扫描仪备品备件</v>
          </cell>
          <cell r="I420" t="str">
            <v>否</v>
          </cell>
          <cell r="J420" t="str">
            <v>否</v>
          </cell>
          <cell r="K420" t="str">
            <v>深圳积木易搭科技技术有限公司</v>
          </cell>
          <cell r="L420" t="str">
            <v/>
          </cell>
          <cell r="M420" t="str">
            <v>2023-07-21 12:23:27</v>
          </cell>
          <cell r="N420" t="str">
            <v>2024-02-18 09:46:48</v>
          </cell>
          <cell r="O420" t="str">
            <v>单涛</v>
          </cell>
          <cell r="P420" t="str">
            <v>单涛</v>
          </cell>
          <cell r="Q420" t="str">
            <v/>
          </cell>
          <cell r="R420" t="str">
            <v>否</v>
          </cell>
          <cell r="S420" t="str">
            <v/>
          </cell>
          <cell r="T420" t="str">
            <v/>
          </cell>
          <cell r="U420" t="str">
            <v/>
          </cell>
          <cell r="V420" t="str">
            <v/>
          </cell>
          <cell r="W420" t="str">
            <v/>
          </cell>
          <cell r="X420" t="str">
            <v/>
          </cell>
          <cell r="Y420" t="str">
            <v>1200100062</v>
          </cell>
          <cell r="Z420" t="str">
            <v>-</v>
          </cell>
          <cell r="AA420" t="str">
            <v/>
          </cell>
          <cell r="AB420" t="str">
            <v/>
          </cell>
          <cell r="AC420" t="str">
            <v/>
          </cell>
          <cell r="AD420" t="str">
            <v/>
          </cell>
          <cell r="AE420" t="str">
            <v/>
          </cell>
          <cell r="AF420" t="str">
            <v/>
          </cell>
          <cell r="AG420" t="str">
            <v/>
          </cell>
          <cell r="AH420" t="str">
            <v/>
          </cell>
          <cell r="AI420" t="str">
            <v/>
          </cell>
          <cell r="AJ420" t="str">
            <v/>
          </cell>
          <cell r="AK420" t="str">
            <v/>
          </cell>
        </row>
        <row r="421">
          <cell r="A421">
            <v>1080400020</v>
          </cell>
          <cell r="B421" t="str">
            <v>Mole豪华套件装包装盒</v>
          </cell>
          <cell r="C421" t="str">
            <v/>
          </cell>
          <cell r="D421" t="str">
            <v>台</v>
          </cell>
          <cell r="E421" t="str">
            <v/>
          </cell>
          <cell r="F421" t="str">
            <v>Mole豪华套件装包装盒</v>
          </cell>
          <cell r="G421" t="str">
            <v/>
          </cell>
          <cell r="H421" t="str">
            <v>三维扫描仪备品备件</v>
          </cell>
          <cell r="I421" t="str">
            <v>否</v>
          </cell>
          <cell r="J421" t="str">
            <v>否</v>
          </cell>
          <cell r="K421" t="str">
            <v>深圳积木易搭科技技术有限公司</v>
          </cell>
          <cell r="L421" t="str">
            <v/>
          </cell>
          <cell r="M421" t="str">
            <v>2023-06-26 13:40:16</v>
          </cell>
          <cell r="N421" t="str">
            <v>2023-06-26 13:40:16</v>
          </cell>
          <cell r="O421" t="str">
            <v>单涛</v>
          </cell>
          <cell r="P421" t="str">
            <v/>
          </cell>
          <cell r="Q421" t="str">
            <v/>
          </cell>
          <cell r="R421" t="str">
            <v>否</v>
          </cell>
          <cell r="S421" t="str">
            <v/>
          </cell>
          <cell r="T421" t="str">
            <v/>
          </cell>
          <cell r="U421" t="str">
            <v/>
          </cell>
          <cell r="V421" t="str">
            <v/>
          </cell>
          <cell r="W421" t="str">
            <v/>
          </cell>
          <cell r="X421" t="str">
            <v/>
          </cell>
          <cell r="Y421" t="str">
            <v>1080400020</v>
          </cell>
          <cell r="Z421" t="str">
            <v>默认规格</v>
          </cell>
          <cell r="AA421" t="str">
            <v/>
          </cell>
          <cell r="AB421" t="str">
            <v/>
          </cell>
          <cell r="AC421" t="str">
            <v/>
          </cell>
          <cell r="AD421" t="str">
            <v/>
          </cell>
          <cell r="AE421" t="str">
            <v/>
          </cell>
          <cell r="AF421" t="str">
            <v/>
          </cell>
          <cell r="AG421" t="str">
            <v/>
          </cell>
          <cell r="AH421" t="str">
            <v/>
          </cell>
          <cell r="AI421" t="str">
            <v/>
          </cell>
          <cell r="AJ421" t="str">
            <v/>
          </cell>
          <cell r="AK421" t="str">
            <v/>
          </cell>
        </row>
        <row r="422">
          <cell r="A422">
            <v>1021900101</v>
          </cell>
          <cell r="B422" t="str">
            <v>USB一体线缆</v>
          </cell>
          <cell r="C422" t="str">
            <v>USB Cable for Mole</v>
          </cell>
          <cell r="D422" t="str">
            <v>根</v>
          </cell>
          <cell r="E422" t="str">
            <v/>
          </cell>
          <cell r="F422" t="str">
            <v>云台设备线</v>
          </cell>
          <cell r="G422" t="str">
            <v>3DMakerpro</v>
          </cell>
          <cell r="H422" t="str">
            <v>三维扫描仪备品备件</v>
          </cell>
          <cell r="I422" t="str">
            <v>否</v>
          </cell>
          <cell r="J422" t="str">
            <v>否</v>
          </cell>
          <cell r="K422" t="str">
            <v>深圳积木易搭科技技术有限公司</v>
          </cell>
          <cell r="L422" t="str">
            <v/>
          </cell>
          <cell r="M422" t="str">
            <v>2023-06-17 11:38:44</v>
          </cell>
          <cell r="N422" t="str">
            <v>2023-09-26 11:29:38</v>
          </cell>
          <cell r="O422" t="str">
            <v>单涛</v>
          </cell>
          <cell r="P422" t="str">
            <v/>
          </cell>
          <cell r="Q422" t="str">
            <v/>
          </cell>
          <cell r="R422" t="str">
            <v>否</v>
          </cell>
          <cell r="S422" t="str">
            <v/>
          </cell>
          <cell r="T422" t="str">
            <v/>
          </cell>
          <cell r="U422" t="str">
            <v/>
          </cell>
          <cell r="V422" t="str">
            <v/>
          </cell>
          <cell r="W422" t="str">
            <v/>
          </cell>
          <cell r="X422" t="str">
            <v/>
          </cell>
          <cell r="Y422" t="str">
            <v>1021900101</v>
          </cell>
          <cell r="Z422" t="str">
            <v>默认规格</v>
          </cell>
          <cell r="AA422" t="str">
            <v/>
          </cell>
          <cell r="AB422" t="str">
            <v/>
          </cell>
          <cell r="AC422" t="str">
            <v/>
          </cell>
          <cell r="AD422" t="str">
            <v/>
          </cell>
          <cell r="AE422" t="str">
            <v/>
          </cell>
          <cell r="AF422" t="str">
            <v/>
          </cell>
          <cell r="AG422" t="str">
            <v/>
          </cell>
          <cell r="AH422" t="str">
            <v/>
          </cell>
          <cell r="AI422" t="str">
            <v/>
          </cell>
          <cell r="AJ422" t="str">
            <v>8544421100</v>
          </cell>
          <cell r="AK422" t="str">
            <v/>
          </cell>
        </row>
        <row r="423">
          <cell r="A423">
            <v>1021900104</v>
          </cell>
          <cell r="B423" t="str">
            <v>数据线</v>
          </cell>
          <cell r="C423" t="str">
            <v/>
          </cell>
          <cell r="D423" t="str">
            <v>根</v>
          </cell>
          <cell r="E423" t="str">
            <v/>
          </cell>
          <cell r="F423" t="str">
            <v>数据线</v>
          </cell>
          <cell r="G423" t="str">
            <v/>
          </cell>
          <cell r="H423" t="str">
            <v>三维扫描仪备品备件</v>
          </cell>
          <cell r="I423" t="str">
            <v>否</v>
          </cell>
          <cell r="J423" t="str">
            <v>否</v>
          </cell>
          <cell r="K423" t="str">
            <v>深圳积木易搭科技技术有限公司</v>
          </cell>
          <cell r="L423" t="str">
            <v/>
          </cell>
          <cell r="M423" t="str">
            <v>2023-06-15 16:06:03</v>
          </cell>
          <cell r="N423" t="str">
            <v>2023-11-10 14:05:53</v>
          </cell>
          <cell r="O423" t="str">
            <v>单涛</v>
          </cell>
          <cell r="P423" t="str">
            <v>单涛</v>
          </cell>
          <cell r="Q423" t="str">
            <v/>
          </cell>
          <cell r="R423" t="str">
            <v>否</v>
          </cell>
          <cell r="S423" t="str">
            <v/>
          </cell>
          <cell r="T423" t="str">
            <v/>
          </cell>
          <cell r="U423" t="str">
            <v/>
          </cell>
          <cell r="V423" t="str">
            <v/>
          </cell>
          <cell r="W423" t="str">
            <v/>
          </cell>
          <cell r="X423" t="str">
            <v/>
          </cell>
          <cell r="Y423" t="str">
            <v>1021900104</v>
          </cell>
          <cell r="Z423" t="str">
            <v>默认规格</v>
          </cell>
          <cell r="AA423" t="str">
            <v/>
          </cell>
          <cell r="AB423" t="str">
            <v/>
          </cell>
          <cell r="AC423" t="str">
            <v/>
          </cell>
          <cell r="AD423" t="str">
            <v/>
          </cell>
          <cell r="AE423" t="str">
            <v/>
          </cell>
          <cell r="AF423" t="str">
            <v/>
          </cell>
          <cell r="AG423" t="str">
            <v/>
          </cell>
          <cell r="AH423" t="str">
            <v/>
          </cell>
          <cell r="AI423" t="str">
            <v/>
          </cell>
          <cell r="AJ423" t="str">
            <v>8544421100</v>
          </cell>
          <cell r="AK423" t="str">
            <v>线长15cm，TYPEC转TYPEC，黑色</v>
          </cell>
        </row>
        <row r="424">
          <cell r="A424">
            <v>1021900134</v>
          </cell>
          <cell r="B424" t="str">
            <v>USB一体线缆中配4m</v>
          </cell>
          <cell r="C424" t="str">
            <v/>
          </cell>
          <cell r="D424" t="str">
            <v>根</v>
          </cell>
          <cell r="E424" t="str">
            <v/>
          </cell>
          <cell r="F424" t="str">
            <v>USB一体线缆中配4m</v>
          </cell>
          <cell r="G424" t="str">
            <v>3DMakerpro</v>
          </cell>
          <cell r="H424" t="str">
            <v>三维扫描仪备品备件</v>
          </cell>
          <cell r="I424" t="str">
            <v>否</v>
          </cell>
          <cell r="J424" t="str">
            <v>否</v>
          </cell>
          <cell r="K424" t="str">
            <v>深圳积木易搭科技技术有限公司</v>
          </cell>
          <cell r="L424" t="str">
            <v/>
          </cell>
          <cell r="M424" t="str">
            <v>2023-06-15 16:05:12</v>
          </cell>
          <cell r="N424" t="str">
            <v>2023-09-26 11:29:55</v>
          </cell>
          <cell r="O424" t="str">
            <v>单涛</v>
          </cell>
          <cell r="P424" t="str">
            <v/>
          </cell>
          <cell r="Q424" t="str">
            <v/>
          </cell>
          <cell r="R424" t="str">
            <v>否</v>
          </cell>
          <cell r="S424" t="str">
            <v/>
          </cell>
          <cell r="T424" t="str">
            <v/>
          </cell>
          <cell r="U424" t="str">
            <v/>
          </cell>
          <cell r="V424" t="str">
            <v/>
          </cell>
          <cell r="W424" t="str">
            <v/>
          </cell>
          <cell r="X424" t="str">
            <v/>
          </cell>
          <cell r="Y424" t="str">
            <v>1021900134</v>
          </cell>
          <cell r="Z424" t="str">
            <v>默认规格</v>
          </cell>
          <cell r="AA424" t="str">
            <v/>
          </cell>
          <cell r="AB424" t="str">
            <v/>
          </cell>
          <cell r="AC424" t="str">
            <v/>
          </cell>
          <cell r="AD424" t="str">
            <v/>
          </cell>
          <cell r="AE424" t="str">
            <v/>
          </cell>
          <cell r="AF424" t="str">
            <v/>
          </cell>
          <cell r="AG424" t="str">
            <v/>
          </cell>
          <cell r="AH424" t="str">
            <v/>
          </cell>
          <cell r="AI424" t="str">
            <v/>
          </cell>
          <cell r="AJ424" t="str">
            <v>8544421100</v>
          </cell>
          <cell r="AK424" t="str">
            <v/>
          </cell>
        </row>
        <row r="425">
          <cell r="A425">
            <v>1200100017</v>
          </cell>
          <cell r="B425" t="str">
            <v>Magic Swift Plus套件装</v>
          </cell>
          <cell r="C425" t="str">
            <v>Color Kit for Plus</v>
          </cell>
          <cell r="D425" t="str">
            <v>台</v>
          </cell>
          <cell r="E425" t="str">
            <v/>
          </cell>
          <cell r="F425" t="str">
            <v>彩色套装Whale/Plus</v>
          </cell>
          <cell r="G425" t="str">
            <v>3DMakerpro</v>
          </cell>
          <cell r="H425" t="str">
            <v>三维扫描仪备品备件</v>
          </cell>
          <cell r="I425" t="str">
            <v>否</v>
          </cell>
          <cell r="J425" t="str">
            <v>否</v>
          </cell>
          <cell r="K425" t="str">
            <v>深圳积木易搭科技技术有限公司</v>
          </cell>
          <cell r="L425" t="str">
            <v/>
          </cell>
          <cell r="M425" t="str">
            <v>2023-05-06 16:14:28</v>
          </cell>
          <cell r="N425" t="str">
            <v>2024-12-24 13:54:18</v>
          </cell>
          <cell r="O425" t="str">
            <v>单涛</v>
          </cell>
          <cell r="P425" t="str">
            <v>单涛</v>
          </cell>
          <cell r="Q425" t="str">
            <v/>
          </cell>
          <cell r="R425" t="str">
            <v>否</v>
          </cell>
          <cell r="S425" t="str">
            <v/>
          </cell>
          <cell r="T425" t="str">
            <v/>
          </cell>
          <cell r="U425" t="str">
            <v/>
          </cell>
          <cell r="V425" t="str">
            <v/>
          </cell>
          <cell r="W425" t="str">
            <v/>
          </cell>
          <cell r="X425" t="str">
            <v/>
          </cell>
          <cell r="Y425" t="str">
            <v>1200100017</v>
          </cell>
          <cell r="Z425" t="str">
            <v>-</v>
          </cell>
          <cell r="AA425" t="str">
            <v/>
          </cell>
          <cell r="AB425" t="str">
            <v/>
          </cell>
          <cell r="AC425" t="str">
            <v/>
          </cell>
          <cell r="AD425" t="str">
            <v/>
          </cell>
          <cell r="AE425" t="str">
            <v/>
          </cell>
          <cell r="AF425" t="str">
            <v/>
          </cell>
          <cell r="AG425">
            <v>1.2</v>
          </cell>
          <cell r="AH425" t="str">
            <v>kg</v>
          </cell>
          <cell r="AI425" t="str">
            <v/>
          </cell>
          <cell r="AJ425" t="str">
            <v>9006919900</v>
          </cell>
          <cell r="AK425" t="str">
            <v/>
          </cell>
        </row>
        <row r="426">
          <cell r="A426">
            <v>1030700011</v>
          </cell>
          <cell r="B426" t="str">
            <v>MP80底部匀光板</v>
          </cell>
          <cell r="C426" t="str">
            <v/>
          </cell>
          <cell r="D426" t="str">
            <v>个</v>
          </cell>
          <cell r="E426" t="str">
            <v/>
          </cell>
          <cell r="F426" t="str">
            <v>匀光圆片</v>
          </cell>
          <cell r="G426" t="str">
            <v/>
          </cell>
          <cell r="H426" t="str">
            <v>三维扫描仪备品备件</v>
          </cell>
          <cell r="I426" t="str">
            <v>否</v>
          </cell>
          <cell r="J426" t="str">
            <v>否</v>
          </cell>
          <cell r="K426" t="str">
            <v>深圳积木易搭科技技术有限公司</v>
          </cell>
          <cell r="L426" t="str">
            <v/>
          </cell>
          <cell r="M426" t="str">
            <v>2023-04-21 16:33:28</v>
          </cell>
          <cell r="N426" t="str">
            <v>2023-11-01 11:26:14</v>
          </cell>
          <cell r="O426" t="str">
            <v>单涛</v>
          </cell>
          <cell r="P426" t="str">
            <v>单涛</v>
          </cell>
          <cell r="Q426" t="str">
            <v/>
          </cell>
          <cell r="R426" t="str">
            <v>否</v>
          </cell>
          <cell r="S426" t="str">
            <v/>
          </cell>
          <cell r="T426" t="str">
            <v/>
          </cell>
          <cell r="U426" t="str">
            <v/>
          </cell>
          <cell r="V426" t="str">
            <v/>
          </cell>
          <cell r="W426" t="str">
            <v/>
          </cell>
          <cell r="X426" t="str">
            <v/>
          </cell>
          <cell r="Y426" t="str">
            <v>1030700011</v>
          </cell>
          <cell r="Z426" t="str">
            <v>无</v>
          </cell>
          <cell r="AA426" t="str">
            <v/>
          </cell>
          <cell r="AB426" t="str">
            <v/>
          </cell>
          <cell r="AC426" t="str">
            <v/>
          </cell>
          <cell r="AD426" t="str">
            <v/>
          </cell>
          <cell r="AE426" t="str">
            <v/>
          </cell>
          <cell r="AF426" t="str">
            <v/>
          </cell>
          <cell r="AG426" t="str">
            <v/>
          </cell>
          <cell r="AH426" t="str">
            <v/>
          </cell>
          <cell r="AI426" t="str">
            <v/>
          </cell>
          <cell r="AJ426" t="str">
            <v/>
          </cell>
          <cell r="AK426" t="str">
            <v/>
          </cell>
        </row>
        <row r="427">
          <cell r="A427">
            <v>1200100003</v>
          </cell>
          <cell r="B427" t="str">
            <v>转台总成</v>
          </cell>
          <cell r="C427" t="str">
            <v>Turntable</v>
          </cell>
          <cell r="D427" t="str">
            <v>个</v>
          </cell>
          <cell r="E427" t="str">
            <v/>
          </cell>
          <cell r="F427" t="str">
            <v>转台</v>
          </cell>
          <cell r="G427" t="str">
            <v/>
          </cell>
          <cell r="H427" t="str">
            <v>三维扫描仪备品备件</v>
          </cell>
          <cell r="I427" t="str">
            <v>否</v>
          </cell>
          <cell r="J427" t="str">
            <v>否</v>
          </cell>
          <cell r="K427" t="str">
            <v>深圳积木易搭科技技术有限公司</v>
          </cell>
          <cell r="L427" t="str">
            <v/>
          </cell>
          <cell r="M427" t="str">
            <v>2023-04-14 17:35:04</v>
          </cell>
          <cell r="N427" t="str">
            <v>2023-12-22 10:49:06</v>
          </cell>
          <cell r="O427" t="str">
            <v>单涛</v>
          </cell>
          <cell r="P427" t="str">
            <v>单涛</v>
          </cell>
          <cell r="Q427" t="str">
            <v/>
          </cell>
          <cell r="R427" t="str">
            <v>否</v>
          </cell>
          <cell r="S427" t="str">
            <v/>
          </cell>
          <cell r="T427" t="str">
            <v/>
          </cell>
          <cell r="U427" t="str">
            <v/>
          </cell>
          <cell r="V427" t="str">
            <v/>
          </cell>
          <cell r="W427" t="str">
            <v/>
          </cell>
          <cell r="X427" t="str">
            <v/>
          </cell>
          <cell r="Y427" t="str">
            <v>1200100003</v>
          </cell>
          <cell r="Z427" t="str">
            <v>-</v>
          </cell>
          <cell r="AA427" t="str">
            <v/>
          </cell>
          <cell r="AB427" t="str">
            <v/>
          </cell>
          <cell r="AC427" t="str">
            <v/>
          </cell>
          <cell r="AD427" t="str">
            <v/>
          </cell>
          <cell r="AE427" t="str">
            <v/>
          </cell>
          <cell r="AF427" t="str">
            <v/>
          </cell>
          <cell r="AG427" t="str">
            <v/>
          </cell>
          <cell r="AH427" t="str">
            <v/>
          </cell>
          <cell r="AI427" t="str">
            <v/>
          </cell>
          <cell r="AJ427" t="str">
            <v>90319000.90</v>
          </cell>
          <cell r="AK427" t="str">
            <v/>
          </cell>
        </row>
        <row r="428">
          <cell r="A428">
            <v>1300100051</v>
          </cell>
          <cell r="B428" t="str">
            <v>SC01A/魔法棒 Magic Wand</v>
          </cell>
          <cell r="C428" t="str">
            <v>Magic Wand</v>
          </cell>
          <cell r="D428" t="str">
            <v>个</v>
          </cell>
          <cell r="E428" t="str">
            <v/>
          </cell>
          <cell r="F428" t="str">
            <v>魔法棒Magic Wand</v>
          </cell>
          <cell r="G428" t="str">
            <v/>
          </cell>
          <cell r="H428" t="str">
            <v>三维扫描仪备品备件</v>
          </cell>
          <cell r="I428" t="str">
            <v>否</v>
          </cell>
          <cell r="J428" t="str">
            <v>否</v>
          </cell>
          <cell r="K428" t="str">
            <v>深圳积木易搭科技技术有限公司</v>
          </cell>
          <cell r="L428" t="str">
            <v/>
          </cell>
          <cell r="M428" t="str">
            <v>2023-04-07 13:35:26</v>
          </cell>
          <cell r="N428" t="str">
            <v>2023-11-01 11:37:21</v>
          </cell>
          <cell r="O428" t="str">
            <v>单涛</v>
          </cell>
          <cell r="P428" t="str">
            <v>单涛</v>
          </cell>
          <cell r="Q428" t="str">
            <v/>
          </cell>
          <cell r="R428" t="str">
            <v>否</v>
          </cell>
          <cell r="S428" t="str">
            <v/>
          </cell>
          <cell r="T428" t="str">
            <v/>
          </cell>
          <cell r="U428" t="str">
            <v/>
          </cell>
          <cell r="V428" t="str">
            <v/>
          </cell>
          <cell r="W428" t="str">
            <v/>
          </cell>
          <cell r="X428" t="str">
            <v/>
          </cell>
          <cell r="Y428" t="str">
            <v>1300100051</v>
          </cell>
          <cell r="Z428" t="str">
            <v>魔法棒Magic Wand</v>
          </cell>
          <cell r="AA428" t="str">
            <v/>
          </cell>
          <cell r="AB428" t="str">
            <v/>
          </cell>
          <cell r="AC428" t="str">
            <v/>
          </cell>
          <cell r="AD428" t="str">
            <v/>
          </cell>
          <cell r="AE428" t="str">
            <v/>
          </cell>
          <cell r="AF428" t="str">
            <v/>
          </cell>
          <cell r="AG428" t="str">
            <v/>
          </cell>
          <cell r="AH428" t="str">
            <v/>
          </cell>
          <cell r="AI428" t="str">
            <v/>
          </cell>
          <cell r="AJ428" t="str">
            <v/>
          </cell>
          <cell r="AK428" t="str">
            <v/>
          </cell>
        </row>
        <row r="429">
          <cell r="A429">
            <v>1030800003</v>
          </cell>
          <cell r="B429" t="str">
            <v>佳能5D Mark IV</v>
          </cell>
          <cell r="C429" t="str">
            <v/>
          </cell>
          <cell r="D429" t="str">
            <v>台</v>
          </cell>
          <cell r="E429" t="str">
            <v/>
          </cell>
          <cell r="F429" t="str">
            <v/>
          </cell>
          <cell r="G429" t="str">
            <v/>
          </cell>
          <cell r="H429" t="str">
            <v>三维扫描仪备品备件</v>
          </cell>
          <cell r="I429" t="str">
            <v>否</v>
          </cell>
          <cell r="J429" t="str">
            <v>否</v>
          </cell>
          <cell r="K429" t="str">
            <v>深圳积木易搭科技技术有限公司</v>
          </cell>
          <cell r="L429" t="str">
            <v/>
          </cell>
          <cell r="M429" t="str">
            <v>2023-04-04 15:16:57</v>
          </cell>
          <cell r="N429" t="str">
            <v>2023-11-01 11:26:40</v>
          </cell>
          <cell r="O429" t="str">
            <v>单涛</v>
          </cell>
          <cell r="P429" t="str">
            <v>单涛</v>
          </cell>
          <cell r="Q429" t="str">
            <v/>
          </cell>
          <cell r="R429" t="str">
            <v>否</v>
          </cell>
          <cell r="S429" t="str">
            <v/>
          </cell>
          <cell r="T429" t="str">
            <v/>
          </cell>
          <cell r="U429" t="str">
            <v/>
          </cell>
          <cell r="V429" t="str">
            <v/>
          </cell>
          <cell r="W429" t="str">
            <v/>
          </cell>
          <cell r="X429" t="str">
            <v/>
          </cell>
          <cell r="Y429" t="str">
            <v>1030800003</v>
          </cell>
          <cell r="Z429" t="str">
            <v>无</v>
          </cell>
          <cell r="AA429" t="str">
            <v/>
          </cell>
          <cell r="AB429" t="str">
            <v/>
          </cell>
          <cell r="AC429" t="str">
            <v/>
          </cell>
          <cell r="AD429" t="str">
            <v/>
          </cell>
          <cell r="AE429" t="str">
            <v/>
          </cell>
          <cell r="AF429" t="str">
            <v/>
          </cell>
          <cell r="AG429" t="str">
            <v/>
          </cell>
          <cell r="AH429" t="str">
            <v/>
          </cell>
          <cell r="AI429" t="str">
            <v/>
          </cell>
          <cell r="AJ429" t="str">
            <v/>
          </cell>
          <cell r="AK429" t="str">
            <v/>
          </cell>
        </row>
        <row r="430">
          <cell r="A430">
            <v>1021500010</v>
          </cell>
          <cell r="B430" t="str">
            <v>灯箱</v>
          </cell>
          <cell r="C430" t="str">
            <v/>
          </cell>
          <cell r="D430" t="str">
            <v>个</v>
          </cell>
          <cell r="E430" t="str">
            <v/>
          </cell>
          <cell r="F430" t="str">
            <v/>
          </cell>
          <cell r="G430" t="str">
            <v/>
          </cell>
          <cell r="H430" t="str">
            <v>三维扫描仪备品备件</v>
          </cell>
          <cell r="I430" t="str">
            <v>否</v>
          </cell>
          <cell r="J430" t="str">
            <v>否</v>
          </cell>
          <cell r="K430" t="str">
            <v>深圳积木易搭科技技术有限公司</v>
          </cell>
          <cell r="L430" t="str">
            <v/>
          </cell>
          <cell r="M430" t="str">
            <v>2023-04-03 11:42:13</v>
          </cell>
          <cell r="N430" t="str">
            <v>2023-04-03 11:42:13</v>
          </cell>
          <cell r="O430" t="str">
            <v>单涛</v>
          </cell>
          <cell r="P430" t="str">
            <v/>
          </cell>
          <cell r="Q430" t="str">
            <v/>
          </cell>
          <cell r="R430" t="str">
            <v>否</v>
          </cell>
          <cell r="S430" t="str">
            <v/>
          </cell>
          <cell r="T430" t="str">
            <v/>
          </cell>
          <cell r="U430" t="str">
            <v/>
          </cell>
          <cell r="V430" t="str">
            <v/>
          </cell>
          <cell r="W430" t="str">
            <v/>
          </cell>
          <cell r="X430" t="str">
            <v/>
          </cell>
          <cell r="Y430" t="str">
            <v/>
          </cell>
          <cell r="Z430" t="str">
            <v>LED柔光小型灯箱，30*30cm</v>
          </cell>
          <cell r="AA430" t="str">
            <v/>
          </cell>
          <cell r="AB430">
            <v>37</v>
          </cell>
          <cell r="AC430">
            <v>32</v>
          </cell>
          <cell r="AD430">
            <v>8</v>
          </cell>
          <cell r="AE430">
            <v>9472</v>
          </cell>
          <cell r="AF430" t="str">
            <v>cm³</v>
          </cell>
          <cell r="AG430" t="str">
            <v/>
          </cell>
          <cell r="AH430" t="str">
            <v/>
          </cell>
          <cell r="AI430" t="str">
            <v/>
          </cell>
          <cell r="AJ430" t="str">
            <v/>
          </cell>
          <cell r="AK430" t="str">
            <v/>
          </cell>
        </row>
        <row r="431">
          <cell r="A431">
            <v>1040600004</v>
          </cell>
          <cell r="B431" t="str">
            <v>USB一体线缆中配</v>
          </cell>
          <cell r="C431" t="str">
            <v>CR-Scan 01 Cable</v>
          </cell>
          <cell r="D431" t="str">
            <v>根</v>
          </cell>
          <cell r="E431" t="str">
            <v/>
          </cell>
          <cell r="F431" t="str">
            <v>中配USB一体线缆2M</v>
          </cell>
          <cell r="G431" t="str">
            <v/>
          </cell>
          <cell r="H431" t="str">
            <v>三维扫描仪备品备件</v>
          </cell>
          <cell r="I431" t="str">
            <v>否</v>
          </cell>
          <cell r="J431" t="str">
            <v>否</v>
          </cell>
          <cell r="K431" t="str">
            <v>深圳积木易搭科技技术有限公司</v>
          </cell>
          <cell r="L431" t="str">
            <v/>
          </cell>
          <cell r="M431" t="str">
            <v>2023-03-24 17:57:49</v>
          </cell>
          <cell r="N431" t="str">
            <v>2024-04-01 18:34:47</v>
          </cell>
          <cell r="O431" t="str">
            <v>单涛</v>
          </cell>
          <cell r="P431" t="str">
            <v>单涛</v>
          </cell>
          <cell r="Q431" t="str">
            <v/>
          </cell>
          <cell r="R431" t="str">
            <v>否</v>
          </cell>
          <cell r="S431" t="str">
            <v/>
          </cell>
          <cell r="T431" t="str">
            <v/>
          </cell>
          <cell r="U431" t="str">
            <v/>
          </cell>
          <cell r="V431" t="str">
            <v/>
          </cell>
          <cell r="W431" t="str">
            <v/>
          </cell>
          <cell r="X431" t="str">
            <v/>
          </cell>
          <cell r="Y431" t="str">
            <v>1040600004</v>
          </cell>
          <cell r="Z431" t="str">
            <v>定制电源USB一体线缆，2M</v>
          </cell>
          <cell r="AA431" t="str">
            <v/>
          </cell>
          <cell r="AB431">
            <v>14</v>
          </cell>
          <cell r="AC431">
            <v>14</v>
          </cell>
          <cell r="AD431">
            <v>5</v>
          </cell>
          <cell r="AE431">
            <v>980</v>
          </cell>
          <cell r="AF431" t="str">
            <v>cm³</v>
          </cell>
          <cell r="AG431">
            <v>0.3</v>
          </cell>
          <cell r="AH431" t="str">
            <v>kg</v>
          </cell>
          <cell r="AI431" t="str">
            <v/>
          </cell>
          <cell r="AJ431" t="str">
            <v>8544421100</v>
          </cell>
          <cell r="AK431" t="str">
            <v/>
          </cell>
        </row>
        <row r="432">
          <cell r="A432">
            <v>1200100040</v>
          </cell>
          <cell r="B432" t="str">
            <v>CR01转台配件包</v>
          </cell>
          <cell r="C432" t="str">
            <v/>
          </cell>
          <cell r="D432" t="str">
            <v>台</v>
          </cell>
          <cell r="E432" t="str">
            <v/>
          </cell>
          <cell r="F432" t="str">
            <v>CR01转台配件包</v>
          </cell>
          <cell r="G432" t="str">
            <v/>
          </cell>
          <cell r="H432" t="str">
            <v>三维扫描仪备品备件</v>
          </cell>
          <cell r="I432" t="str">
            <v>否</v>
          </cell>
          <cell r="J432" t="str">
            <v>否</v>
          </cell>
          <cell r="K432" t="str">
            <v>深圳积木易搭科技技术有限公司</v>
          </cell>
          <cell r="L432" t="str">
            <v/>
          </cell>
          <cell r="M432" t="str">
            <v>2023-03-17 15:10:09</v>
          </cell>
          <cell r="N432" t="str">
            <v>2023-12-22 10:49:17</v>
          </cell>
          <cell r="O432" t="str">
            <v>单涛</v>
          </cell>
          <cell r="P432" t="str">
            <v>单涛</v>
          </cell>
          <cell r="Q432" t="str">
            <v/>
          </cell>
          <cell r="R432" t="str">
            <v>否</v>
          </cell>
          <cell r="S432" t="str">
            <v>转台数据线/转盘/转台/伞状三脚架</v>
          </cell>
          <cell r="T432" t="str">
            <v/>
          </cell>
          <cell r="U432" t="str">
            <v/>
          </cell>
          <cell r="V432" t="str">
            <v/>
          </cell>
          <cell r="W432" t="str">
            <v/>
          </cell>
          <cell r="X432" t="str">
            <v/>
          </cell>
          <cell r="Y432" t="str">
            <v>1200100040</v>
          </cell>
          <cell r="Z432" t="str">
            <v>-</v>
          </cell>
          <cell r="AA432" t="str">
            <v/>
          </cell>
          <cell r="AB432" t="str">
            <v/>
          </cell>
          <cell r="AC432" t="str">
            <v/>
          </cell>
          <cell r="AD432" t="str">
            <v/>
          </cell>
          <cell r="AE432" t="str">
            <v/>
          </cell>
          <cell r="AF432" t="str">
            <v/>
          </cell>
          <cell r="AG432" t="str">
            <v/>
          </cell>
          <cell r="AH432" t="str">
            <v/>
          </cell>
          <cell r="AI432" t="str">
            <v/>
          </cell>
          <cell r="AJ432" t="str">
            <v/>
          </cell>
          <cell r="AK432" t="str">
            <v/>
          </cell>
        </row>
        <row r="433">
          <cell r="A433">
            <v>1040600028</v>
          </cell>
          <cell r="B433" t="str">
            <v>中配转台数据线</v>
          </cell>
          <cell r="C433" t="str">
            <v/>
          </cell>
          <cell r="D433" t="str">
            <v>根</v>
          </cell>
          <cell r="E433" t="str">
            <v/>
          </cell>
          <cell r="F433" t="str">
            <v/>
          </cell>
          <cell r="G433" t="str">
            <v/>
          </cell>
          <cell r="H433" t="str">
            <v>三维扫描仪备品备件</v>
          </cell>
          <cell r="I433" t="str">
            <v>否</v>
          </cell>
          <cell r="J433" t="str">
            <v>否</v>
          </cell>
          <cell r="K433" t="str">
            <v>深圳积木易搭科技技术有限公司</v>
          </cell>
          <cell r="L433" t="str">
            <v/>
          </cell>
          <cell r="M433" t="str">
            <v>2023-02-24 10:48:15</v>
          </cell>
          <cell r="N433" t="str">
            <v>2024-02-18 09:47:12</v>
          </cell>
          <cell r="O433" t="str">
            <v>单涛</v>
          </cell>
          <cell r="P433" t="str">
            <v>单涛</v>
          </cell>
          <cell r="Q433" t="str">
            <v/>
          </cell>
          <cell r="R433" t="str">
            <v>否</v>
          </cell>
          <cell r="S433" t="str">
            <v>DC公对公转接线，3.5x1.35mm直流转安卓micro USB公头</v>
          </cell>
          <cell r="T433" t="str">
            <v/>
          </cell>
          <cell r="U433" t="str">
            <v/>
          </cell>
          <cell r="V433" t="str">
            <v/>
          </cell>
          <cell r="W433" t="str">
            <v/>
          </cell>
          <cell r="X433" t="str">
            <v/>
          </cell>
          <cell r="Y433" t="str">
            <v>1040600028</v>
          </cell>
          <cell r="Z433" t="str">
            <v>-</v>
          </cell>
          <cell r="AA433" t="str">
            <v/>
          </cell>
          <cell r="AB433" t="str">
            <v/>
          </cell>
          <cell r="AC433" t="str">
            <v/>
          </cell>
          <cell r="AD433" t="str">
            <v/>
          </cell>
          <cell r="AE433" t="str">
            <v/>
          </cell>
          <cell r="AF433" t="str">
            <v/>
          </cell>
          <cell r="AG433" t="str">
            <v/>
          </cell>
          <cell r="AH433" t="str">
            <v/>
          </cell>
          <cell r="AI433" t="str">
            <v/>
          </cell>
          <cell r="AJ433" t="str">
            <v>8544421100</v>
          </cell>
          <cell r="AK433" t="str">
            <v/>
          </cell>
        </row>
        <row r="434">
          <cell r="A434">
            <v>1050400009</v>
          </cell>
          <cell r="B434" t="str">
            <v>相机三脚架</v>
          </cell>
          <cell r="C434" t="str">
            <v>Tripod Q620</v>
          </cell>
          <cell r="D434" t="str">
            <v>个</v>
          </cell>
          <cell r="E434" t="str">
            <v>6933355062000</v>
          </cell>
          <cell r="F434" t="str">
            <v>双把手云台Q620</v>
          </cell>
          <cell r="G434" t="str">
            <v>3DMakerpro</v>
          </cell>
          <cell r="H434" t="str">
            <v>三维扫描仪备品备件</v>
          </cell>
          <cell r="I434" t="str">
            <v>否</v>
          </cell>
          <cell r="J434" t="str">
            <v>否</v>
          </cell>
          <cell r="K434" t="str">
            <v>深圳积木易搭科技技术有限公司</v>
          </cell>
          <cell r="L434" t="str">
            <v/>
          </cell>
          <cell r="M434" t="str">
            <v>2023-02-23 15:38:33</v>
          </cell>
          <cell r="N434" t="str">
            <v>2025-03-26 11:29:52</v>
          </cell>
          <cell r="O434" t="str">
            <v>单涛</v>
          </cell>
          <cell r="P434" t="str">
            <v>单涛</v>
          </cell>
          <cell r="Q434" t="str">
            <v/>
          </cell>
          <cell r="R434" t="str">
            <v>否</v>
          </cell>
          <cell r="S434" t="str">
            <v/>
          </cell>
          <cell r="T434" t="str">
            <v/>
          </cell>
          <cell r="U434" t="str">
            <v/>
          </cell>
          <cell r="V434" t="str">
            <v/>
          </cell>
          <cell r="W434" t="str">
            <v/>
          </cell>
          <cell r="X434" t="str">
            <v/>
          </cell>
          <cell r="Y434" t="str">
            <v>1050400009</v>
          </cell>
          <cell r="Z434" t="str">
            <v>Q620</v>
          </cell>
          <cell r="AA434" t="str">
            <v>6933355062000</v>
          </cell>
          <cell r="AB434">
            <v>14</v>
          </cell>
          <cell r="AC434">
            <v>14</v>
          </cell>
          <cell r="AD434">
            <v>70</v>
          </cell>
          <cell r="AE434">
            <v>13720</v>
          </cell>
          <cell r="AF434" t="str">
            <v>cm³</v>
          </cell>
          <cell r="AG434">
            <v>3.8</v>
          </cell>
          <cell r="AH434" t="str">
            <v>kg</v>
          </cell>
          <cell r="AI434" t="str">
            <v/>
          </cell>
          <cell r="AJ434" t="str">
            <v>9620009000</v>
          </cell>
          <cell r="AK434" t="str">
            <v/>
          </cell>
        </row>
      </sheetData>
      <sheetData sheetId="5"/>
      <sheetData sheetId="6"/>
      <sheetData sheetId="7"/>
      <sheetData sheetId="8"/>
      <sheetData sheetId="9"/>
      <sheetData sheetId="10">
        <row r="1">
          <cell r="A1" t="str">
            <v>fnsku</v>
          </cell>
          <cell r="B1" t="str">
            <v>snapshot-date</v>
          </cell>
          <cell r="C1" t="str">
            <v>sku</v>
          </cell>
          <cell r="D1" t="str">
            <v>fnsku</v>
          </cell>
          <cell r="E1" t="str">
            <v>asin</v>
          </cell>
          <cell r="F1" t="str">
            <v>product-name</v>
          </cell>
          <cell r="G1" t="str">
            <v>condition</v>
          </cell>
          <cell r="H1" t="str">
            <v>available</v>
          </cell>
          <cell r="I1" t="str">
            <v>pending-removal-quantity</v>
          </cell>
          <cell r="J1" t="str">
            <v>inv-age-0-to-90-days</v>
          </cell>
          <cell r="K1" t="str">
            <v>inv-age-91-to-180-days</v>
          </cell>
          <cell r="L1" t="str">
            <v>inv-age-181-to-270-days</v>
          </cell>
          <cell r="M1" t="str">
            <v>inv-age-271-to-365-days</v>
          </cell>
          <cell r="N1" t="str">
            <v>inv-age-366-to-455-days</v>
          </cell>
          <cell r="O1" t="str">
            <v>inv-age-456-plus-days</v>
          </cell>
          <cell r="P1" t="str">
            <v>currency</v>
          </cell>
          <cell r="Q1" t="str">
            <v>units-shipped-t7</v>
          </cell>
          <cell r="R1" t="str">
            <v>units-shipped-t30</v>
          </cell>
          <cell r="S1" t="str">
            <v>units-shipped-t60</v>
          </cell>
          <cell r="T1" t="str">
            <v>units-shipped-t90</v>
          </cell>
          <cell r="U1" t="str">
            <v>alert</v>
          </cell>
          <cell r="V1" t="str">
            <v>your-price</v>
          </cell>
          <cell r="W1" t="str">
            <v>sales-price</v>
          </cell>
          <cell r="X1" t="str">
            <v>lowest-price-new-plus-shipping</v>
          </cell>
          <cell r="Y1" t="str">
            <v>lowest-price-used</v>
          </cell>
          <cell r="Z1" t="str">
            <v>recommended-action</v>
          </cell>
          <cell r="AA1" t="str">
            <v>DEPRECATED healthy-inventory-level</v>
          </cell>
          <cell r="AB1" t="str">
            <v>recommended-sales-price</v>
          </cell>
          <cell r="AC1" t="str">
            <v>recommended-sale-duration-days</v>
          </cell>
          <cell r="AD1" t="str">
            <v>recommended-removal-quantity</v>
          </cell>
          <cell r="AE1" t="str">
            <v>estimated-cost-savings-of-recommended-actions</v>
          </cell>
          <cell r="AF1" t="str">
            <v>sell-through</v>
          </cell>
          <cell r="AG1" t="str">
            <v>item-volume</v>
          </cell>
          <cell r="AH1" t="str">
            <v>volume-unit-measurement</v>
          </cell>
          <cell r="AI1" t="str">
            <v>storage-type</v>
          </cell>
          <cell r="AJ1" t="str">
            <v>storage-volume</v>
          </cell>
          <cell r="AK1" t="str">
            <v>marketplace</v>
          </cell>
          <cell r="AL1" t="str">
            <v>product-group</v>
          </cell>
          <cell r="AM1" t="str">
            <v>sales-rank</v>
          </cell>
          <cell r="AN1" t="str">
            <v>days-of-supply</v>
          </cell>
          <cell r="AO1" t="str">
            <v>estimated-excess-quantity</v>
          </cell>
          <cell r="AP1" t="str">
            <v>weeks-of-cover-t30</v>
          </cell>
          <cell r="AQ1" t="str">
            <v>weeks-of-cover-t90</v>
          </cell>
          <cell r="AR1" t="str">
            <v>featuredoffer-price</v>
          </cell>
          <cell r="AS1" t="str">
            <v>sales-shipped-last-7-days</v>
          </cell>
          <cell r="AT1" t="str">
            <v>sales-shipped-last-30-days</v>
          </cell>
          <cell r="AU1" t="str">
            <v>sales-shipped-last-60-days</v>
          </cell>
          <cell r="AV1" t="str">
            <v>sales-shipped-last-90-days</v>
          </cell>
          <cell r="AW1" t="str">
            <v>inv-age-0-to-30-days</v>
          </cell>
          <cell r="AX1" t="str">
            <v>inv-age-31-to-60-days</v>
          </cell>
          <cell r="AY1" t="str">
            <v>inv-age-61-to-90-days</v>
          </cell>
          <cell r="AZ1" t="str">
            <v>inv-age-181-to-330-days</v>
          </cell>
          <cell r="BA1" t="str">
            <v>inv-age-331-to-365-days</v>
          </cell>
          <cell r="BB1" t="str">
            <v>estimated-storage-cost-next-month</v>
          </cell>
          <cell r="BC1" t="str">
            <v>inbound-quantity</v>
          </cell>
          <cell r="BD1" t="str">
            <v>inbound-working</v>
          </cell>
          <cell r="BE1" t="str">
            <v>inbound-shipped</v>
          </cell>
          <cell r="BF1" t="str">
            <v>inbound-received</v>
          </cell>
          <cell r="BG1" t="str">
            <v>no-sale-last-6-months</v>
          </cell>
          <cell r="BH1" t="str">
            <v>Total Reserved Quantity</v>
          </cell>
          <cell r="BI1" t="str">
            <v>unfulfillable-quantity</v>
          </cell>
          <cell r="BJ1" t="str">
            <v>quantity-to-be-charged-ais-181-210-days</v>
          </cell>
          <cell r="BK1" t="str">
            <v>estimated-ais-181-210-days</v>
          </cell>
          <cell r="BL1" t="str">
            <v>quantity-to-be-charged-ais-211-240-days</v>
          </cell>
          <cell r="BM1" t="str">
            <v>estimated-ais-211-240-days</v>
          </cell>
          <cell r="BN1" t="str">
            <v>quantity-to-be-charged-ais-241-270-days</v>
          </cell>
          <cell r="BO1" t="str">
            <v>estimated-ais-241-270-days</v>
          </cell>
          <cell r="BP1" t="str">
            <v>quantity-to-be-charged-ais-271-300-days</v>
          </cell>
          <cell r="BQ1" t="str">
            <v>estimated-ais-271-300-days</v>
          </cell>
          <cell r="BR1" t="str">
            <v>quantity-to-be-charged-ais-301-330-days</v>
          </cell>
          <cell r="BS1" t="str">
            <v>estimated-ais-301-330-days</v>
          </cell>
          <cell r="BT1" t="str">
            <v>quantity-to-be-charged-ais-331-365-days</v>
          </cell>
          <cell r="BU1" t="str">
            <v>estimated-ais-331-365-days</v>
          </cell>
          <cell r="BV1" t="str">
            <v>quantity-to-be-charged-ais-366-455-days</v>
          </cell>
          <cell r="BW1" t="str">
            <v>estimated-ais-366-455-days</v>
          </cell>
          <cell r="BX1" t="str">
            <v>quantity-to-be-charged-ais-456-plus-days</v>
          </cell>
          <cell r="BY1" t="str">
            <v>estimated-ais-456-plus-days</v>
          </cell>
          <cell r="BZ1" t="str">
            <v>historical-days-of-supply</v>
          </cell>
          <cell r="CA1" t="str">
            <v>fba-minimum-inventory-level</v>
          </cell>
          <cell r="CB1" t="str">
            <v>fba-inventory-level-health-status</v>
          </cell>
          <cell r="CC1" t="str">
            <v>Recommended ship-in quantity</v>
          </cell>
          <cell r="CD1" t="str">
            <v>Recommended ship-in date</v>
          </cell>
          <cell r="CE1" t="str">
            <v>Last updated date for Historical Days of Supply</v>
          </cell>
          <cell r="CF1" t="str">
            <v>Exempted from Low-Inventory-Level fee?</v>
          </cell>
          <cell r="CG1" t="str">
            <v>Low-Inventory-Level fee applied in current week?</v>
          </cell>
          <cell r="CH1" t="str">
            <v>Short term historical days of supply</v>
          </cell>
          <cell r="CI1" t="str">
            <v>Long term historical days of supply</v>
          </cell>
          <cell r="CJ1" t="str">
            <v>Inventory age snapshot date</v>
          </cell>
          <cell r="CK1" t="str">
            <v>Inventory Supply at FBA</v>
          </cell>
          <cell r="CL1" t="str">
            <v>Reserved FC Transfer</v>
          </cell>
          <cell r="CM1" t="str">
            <v>Reserved FC Processing</v>
          </cell>
          <cell r="CN1" t="str">
            <v>Reserved Customer Order</v>
          </cell>
        </row>
        <row r="2">
          <cell r="A2" t="str">
            <v>X004WSFO0D</v>
          </cell>
          <cell r="B2" t="str">
            <v>Amazon US</v>
          </cell>
          <cell r="C2" t="str">
            <v>US Mole Premium Version-used</v>
          </cell>
          <cell r="D2" t="str">
            <v>X004WSFO0D</v>
          </cell>
          <cell r="E2" t="str">
            <v>B0CQRJP3TW</v>
          </cell>
          <cell r="F2" t="str">
            <v>3DMakerpro Mole Handheld 3D Scanner for 3D Printer, 0.05mm Accuracy &amp; 0.1mm Resolution, 10FPS Scanning Lightning-Fast Speed with Anti-Shake Lenses, Portable 3D Scanners for Win10/MacOS</v>
          </cell>
          <cell r="G2" t="str">
            <v>Used</v>
          </cell>
          <cell r="H2">
            <v>36</v>
          </cell>
          <cell r="I2">
            <v>0</v>
          </cell>
          <cell r="J2">
            <v>10</v>
          </cell>
          <cell r="K2">
            <v>1</v>
          </cell>
          <cell r="L2">
            <v>25</v>
          </cell>
          <cell r="M2">
            <v>0</v>
          </cell>
          <cell r="N2">
            <v>0</v>
          </cell>
          <cell r="O2">
            <v>0</v>
          </cell>
          <cell r="P2" t="str">
            <v>USD</v>
          </cell>
          <cell r="Q2">
            <v>0</v>
          </cell>
          <cell r="R2">
            <v>0</v>
          </cell>
          <cell r="S2">
            <v>0</v>
          </cell>
          <cell r="T2">
            <v>1</v>
          </cell>
          <cell r="U2" t="str">
            <v>Low traffic</v>
          </cell>
          <cell r="V2">
            <v>375</v>
          </cell>
          <cell r="W2">
            <v>0</v>
          </cell>
          <cell r="X2">
            <v>749</v>
          </cell>
          <cell r="Y2">
            <v>375</v>
          </cell>
          <cell r="Z2" t="str">
            <v>Advertise listing</v>
          </cell>
        </row>
        <row r="2">
          <cell r="AB2">
            <v>300</v>
          </cell>
          <cell r="AC2">
            <v>9</v>
          </cell>
          <cell r="AD2">
            <v>0</v>
          </cell>
          <cell r="AE2">
            <v>4821.95</v>
          </cell>
          <cell r="AF2">
            <v>0.08</v>
          </cell>
          <cell r="AG2">
            <v>0.416462</v>
          </cell>
          <cell r="AH2" t="str">
            <v>cubic feet</v>
          </cell>
          <cell r="AI2" t="str">
            <v>Standard</v>
          </cell>
          <cell r="AJ2">
            <v>14.992632</v>
          </cell>
          <cell r="AK2" t="str">
            <v>US</v>
          </cell>
          <cell r="AL2" t="str">
            <v>gl_biss</v>
          </cell>
          <cell r="AM2">
            <v>663310</v>
          </cell>
          <cell r="AN2">
            <v>366</v>
          </cell>
          <cell r="AO2">
            <v>36</v>
          </cell>
        </row>
        <row r="2">
          <cell r="AQ2">
            <v>468</v>
          </cell>
          <cell r="AR2">
            <v>749</v>
          </cell>
          <cell r="AS2">
            <v>0</v>
          </cell>
          <cell r="AT2">
            <v>0</v>
          </cell>
          <cell r="AU2">
            <v>0</v>
          </cell>
          <cell r="AV2">
            <v>375</v>
          </cell>
          <cell r="AW2">
            <v>0</v>
          </cell>
          <cell r="AX2">
            <v>0</v>
          </cell>
          <cell r="AY2">
            <v>10</v>
          </cell>
          <cell r="AZ2">
            <v>25</v>
          </cell>
          <cell r="BA2">
            <v>0</v>
          </cell>
          <cell r="BB2">
            <v>15.92</v>
          </cell>
          <cell r="BC2">
            <v>0</v>
          </cell>
          <cell r="BD2">
            <v>0</v>
          </cell>
          <cell r="BE2">
            <v>0</v>
          </cell>
          <cell r="BF2">
            <v>0</v>
          </cell>
        </row>
        <row r="2">
          <cell r="BH2">
            <v>0</v>
          </cell>
          <cell r="BI2">
            <v>0</v>
          </cell>
          <cell r="BJ2">
            <v>25</v>
          </cell>
          <cell r="BK2">
            <v>5.19</v>
          </cell>
          <cell r="BL2">
            <v>0</v>
          </cell>
          <cell r="BM2">
            <v>0</v>
          </cell>
          <cell r="BN2">
            <v>0</v>
          </cell>
          <cell r="BO2">
            <v>0</v>
          </cell>
          <cell r="BP2">
            <v>0</v>
          </cell>
          <cell r="BQ2">
            <v>0</v>
          </cell>
          <cell r="BR2">
            <v>0</v>
          </cell>
          <cell r="BS2">
            <v>0</v>
          </cell>
          <cell r="BT2">
            <v>0</v>
          </cell>
          <cell r="BU2">
            <v>0</v>
          </cell>
          <cell r="BV2">
            <v>0</v>
          </cell>
          <cell r="BW2">
            <v>0</v>
          </cell>
          <cell r="BX2">
            <v>0</v>
          </cell>
          <cell r="BY2">
            <v>0</v>
          </cell>
        </row>
        <row r="2">
          <cell r="CA2">
            <v>1</v>
          </cell>
          <cell r="CB2" t="str">
            <v>Excess</v>
          </cell>
        </row>
        <row r="2">
          <cell r="CI2">
            <v>3106</v>
          </cell>
          <cell r="CJ2">
            <v>46182</v>
          </cell>
          <cell r="CK2">
            <v>36</v>
          </cell>
          <cell r="CL2">
            <v>0</v>
          </cell>
          <cell r="CM2">
            <v>0</v>
          </cell>
          <cell r="CN2">
            <v>0</v>
          </cell>
        </row>
        <row r="3">
          <cell r="A3" t="str">
            <v>X004TBWMYT</v>
          </cell>
          <cell r="B3" t="str">
            <v>Amazon US</v>
          </cell>
          <cell r="C3" t="str">
            <v>US AESUB Blue Spray</v>
          </cell>
          <cell r="D3" t="str">
            <v>X004TBWMYT</v>
          </cell>
          <cell r="E3" t="str">
            <v>B0D4YP3KDH</v>
          </cell>
          <cell r="F3" t="str">
            <v>AESUB Blue Spray for 3DMakerpro 3D Scanner, Suitable for Reflective, Transparent Surface or Highly Textured Surfaces 400ml</v>
          </cell>
        </row>
        <row r="3">
          <cell r="H3">
            <v>0</v>
          </cell>
          <cell r="I3">
            <v>0</v>
          </cell>
          <cell r="J3">
            <v>2</v>
          </cell>
          <cell r="K3">
            <v>0</v>
          </cell>
          <cell r="L3">
            <v>0</v>
          </cell>
          <cell r="M3">
            <v>0</v>
          </cell>
          <cell r="N3">
            <v>0</v>
          </cell>
          <cell r="O3">
            <v>0</v>
          </cell>
          <cell r="P3" t="str">
            <v>USD</v>
          </cell>
          <cell r="Q3">
            <v>2</v>
          </cell>
          <cell r="R3">
            <v>74</v>
          </cell>
          <cell r="S3">
            <v>196</v>
          </cell>
          <cell r="T3">
            <v>317</v>
          </cell>
        </row>
        <row r="3">
          <cell r="V3">
            <v>0</v>
          </cell>
          <cell r="W3">
            <v>0</v>
          </cell>
          <cell r="X3">
            <v>0</v>
          </cell>
          <cell r="Y3">
            <v>0</v>
          </cell>
          <cell r="Z3" t="str">
            <v>CreateShippingPlan</v>
          </cell>
        </row>
        <row r="3">
          <cell r="AC3">
            <v>0</v>
          </cell>
          <cell r="AD3">
            <v>0</v>
          </cell>
        </row>
        <row r="3">
          <cell r="AF3">
            <v>6.5</v>
          </cell>
          <cell r="AG3">
            <v>0.025665</v>
          </cell>
          <cell r="AH3" t="str">
            <v>cubic feet</v>
          </cell>
          <cell r="AI3" t="str">
            <v>Aerosol</v>
          </cell>
          <cell r="AJ3">
            <v>0</v>
          </cell>
          <cell r="AK3" t="str">
            <v>US</v>
          </cell>
          <cell r="AL3" t="str">
            <v>gl_biss</v>
          </cell>
          <cell r="AM3">
            <v>77671</v>
          </cell>
          <cell r="AN3">
            <v>36</v>
          </cell>
          <cell r="AO3">
            <v>0</v>
          </cell>
          <cell r="AP3">
            <v>10</v>
          </cell>
          <cell r="AQ3">
            <v>7</v>
          </cell>
          <cell r="AR3">
            <v>39</v>
          </cell>
          <cell r="AS3">
            <v>74.08</v>
          </cell>
          <cell r="AT3">
            <v>2778.4</v>
          </cell>
          <cell r="AU3">
            <v>7239.68</v>
          </cell>
          <cell r="AV3">
            <v>11749.97</v>
          </cell>
          <cell r="AW3">
            <v>2</v>
          </cell>
          <cell r="AX3">
            <v>0</v>
          </cell>
          <cell r="AY3">
            <v>0</v>
          </cell>
          <cell r="AZ3">
            <v>0</v>
          </cell>
          <cell r="BA3">
            <v>0</v>
          </cell>
        </row>
        <row r="3">
          <cell r="BC3">
            <v>192</v>
          </cell>
          <cell r="BD3">
            <v>0</v>
          </cell>
          <cell r="BE3">
            <v>192</v>
          </cell>
          <cell r="BF3">
            <v>0</v>
          </cell>
        </row>
        <row r="3">
          <cell r="BH3">
            <v>2</v>
          </cell>
          <cell r="BI3">
            <v>0</v>
          </cell>
        </row>
        <row r="3">
          <cell r="BZ3">
            <v>14.4</v>
          </cell>
          <cell r="CA3">
            <v>122</v>
          </cell>
          <cell r="CB3" t="str">
            <v>Out of stock</v>
          </cell>
          <cell r="CC3">
            <v>40</v>
          </cell>
          <cell r="CD3">
            <v>46190</v>
          </cell>
          <cell r="CE3">
            <v>46181</v>
          </cell>
          <cell r="CF3" t="str">
            <v>Yes</v>
          </cell>
          <cell r="CG3" t="str">
            <v>No</v>
          </cell>
          <cell r="CH3">
            <v>9.4</v>
          </cell>
          <cell r="CI3">
            <v>14.4</v>
          </cell>
          <cell r="CJ3">
            <v>46182</v>
          </cell>
          <cell r="CK3">
            <v>192</v>
          </cell>
          <cell r="CL3">
            <v>0</v>
          </cell>
          <cell r="CM3">
            <v>0</v>
          </cell>
          <cell r="CN3">
            <v>2</v>
          </cell>
        </row>
        <row r="4">
          <cell r="A4" t="str">
            <v>X0050AXAIF</v>
          </cell>
          <cell r="B4" t="str">
            <v>Amazon US</v>
          </cell>
          <cell r="C4" t="str">
            <v>US Seal Lite Advanced Version</v>
          </cell>
          <cell r="D4" t="str">
            <v>X0050AXAIF</v>
          </cell>
          <cell r="E4" t="str">
            <v>B0GMYNPR6H</v>
          </cell>
          <cell r="F4" t="str">
            <v>3DMakerpro Handheld 3D Scanner for 3D Printing, 0.02mm Detailed Precision, 10FPS Scanning Lightning-Fast Speed with Anti-Shake Lenses, Portable 3D Scanner for Win10/MacOS -Seal Lite Advanced Version</v>
          </cell>
          <cell r="G4" t="str">
            <v>New</v>
          </cell>
          <cell r="H4">
            <v>1</v>
          </cell>
          <cell r="I4">
            <v>0</v>
          </cell>
          <cell r="J4">
            <v>2</v>
          </cell>
          <cell r="K4">
            <v>0</v>
          </cell>
          <cell r="L4">
            <v>0</v>
          </cell>
          <cell r="M4">
            <v>0</v>
          </cell>
          <cell r="N4">
            <v>0</v>
          </cell>
          <cell r="O4">
            <v>0</v>
          </cell>
          <cell r="P4" t="str">
            <v>USD</v>
          </cell>
          <cell r="Q4">
            <v>6</v>
          </cell>
          <cell r="R4">
            <v>20</v>
          </cell>
          <cell r="S4">
            <v>37</v>
          </cell>
          <cell r="T4">
            <v>37</v>
          </cell>
        </row>
        <row r="4">
          <cell r="V4">
            <v>419</v>
          </cell>
          <cell r="W4">
            <v>0</v>
          </cell>
          <cell r="X4">
            <v>419</v>
          </cell>
          <cell r="Y4">
            <v>0</v>
          </cell>
          <cell r="Z4" t="str">
            <v>CreateShippingPlan</v>
          </cell>
        </row>
        <row r="4">
          <cell r="AB4">
            <v>0</v>
          </cell>
          <cell r="AC4">
            <v>0</v>
          </cell>
          <cell r="AD4">
            <v>0</v>
          </cell>
          <cell r="AE4">
            <v>0</v>
          </cell>
          <cell r="AF4">
            <v>1.85</v>
          </cell>
          <cell r="AG4">
            <v>0.23408</v>
          </cell>
          <cell r="AH4" t="str">
            <v>cubic feet</v>
          </cell>
          <cell r="AI4" t="str">
            <v>Standard</v>
          </cell>
          <cell r="AJ4">
            <v>0.23408</v>
          </cell>
          <cell r="AK4" t="str">
            <v>US</v>
          </cell>
          <cell r="AL4" t="str">
            <v>gl_biss</v>
          </cell>
          <cell r="AM4">
            <v>124431</v>
          </cell>
          <cell r="AN4">
            <v>1</v>
          </cell>
          <cell r="AO4">
            <v>0</v>
          </cell>
          <cell r="AP4">
            <v>0</v>
          </cell>
          <cell r="AQ4">
            <v>0</v>
          </cell>
          <cell r="AR4">
            <v>419</v>
          </cell>
          <cell r="AS4">
            <v>2514</v>
          </cell>
          <cell r="AT4">
            <v>8359.05</v>
          </cell>
          <cell r="AU4">
            <v>15461.1</v>
          </cell>
          <cell r="AV4">
            <v>15461.1</v>
          </cell>
          <cell r="AW4">
            <v>2</v>
          </cell>
          <cell r="AX4">
            <v>0</v>
          </cell>
          <cell r="AY4">
            <v>0</v>
          </cell>
          <cell r="AZ4">
            <v>0</v>
          </cell>
          <cell r="BA4">
            <v>0</v>
          </cell>
          <cell r="BB4">
            <v>0.08</v>
          </cell>
          <cell r="BC4">
            <v>0</v>
          </cell>
          <cell r="BD4">
            <v>0</v>
          </cell>
          <cell r="BE4">
            <v>0</v>
          </cell>
          <cell r="BF4">
            <v>0</v>
          </cell>
        </row>
        <row r="4">
          <cell r="BH4">
            <v>2</v>
          </cell>
          <cell r="BI4">
            <v>0</v>
          </cell>
        </row>
        <row r="4">
          <cell r="BZ4">
            <v>39.2</v>
          </cell>
          <cell r="CA4">
            <v>41</v>
          </cell>
          <cell r="CB4" t="str">
            <v>Low stock</v>
          </cell>
          <cell r="CC4">
            <v>79</v>
          </cell>
          <cell r="CD4">
            <v>46191</v>
          </cell>
          <cell r="CE4">
            <v>46181</v>
          </cell>
          <cell r="CF4" t="str">
            <v>Yes</v>
          </cell>
          <cell r="CG4" t="str">
            <v>No</v>
          </cell>
          <cell r="CH4">
            <v>19</v>
          </cell>
          <cell r="CI4">
            <v>39.2</v>
          </cell>
          <cell r="CJ4">
            <v>46182</v>
          </cell>
          <cell r="CK4">
            <v>2</v>
          </cell>
          <cell r="CL4">
            <v>1</v>
          </cell>
          <cell r="CM4">
            <v>2</v>
          </cell>
          <cell r="CN4">
            <v>0</v>
          </cell>
        </row>
        <row r="5">
          <cell r="A5" t="str">
            <v>X004TOIG9L</v>
          </cell>
          <cell r="B5" t="str">
            <v>Amazon US</v>
          </cell>
          <cell r="C5" t="str">
            <v>US Seal Lite Basic Edition</v>
          </cell>
          <cell r="D5" t="str">
            <v>X004TOIG9L</v>
          </cell>
          <cell r="E5" t="str">
            <v>B0FPLTS623</v>
          </cell>
          <cell r="F5" t="str">
            <v>3DMakerpro Handheld 3D Scanner for 3D Printing, 0.02mm High Detailed Precision, 10FPS Scanning Lightning-Fast Speed with Anti-Shake Lenses, Portable 3D Scanner for Win10/MacOS -Seal Lite Standard</v>
          </cell>
          <cell r="G5" t="str">
            <v>New</v>
          </cell>
          <cell r="H5">
            <v>12</v>
          </cell>
          <cell r="I5">
            <v>0</v>
          </cell>
          <cell r="J5">
            <v>4</v>
          </cell>
          <cell r="K5">
            <v>2</v>
          </cell>
          <cell r="L5">
            <v>0</v>
          </cell>
          <cell r="M5">
            <v>0</v>
          </cell>
          <cell r="N5">
            <v>0</v>
          </cell>
          <cell r="O5">
            <v>0</v>
          </cell>
          <cell r="P5" t="str">
            <v>USD</v>
          </cell>
          <cell r="Q5">
            <v>0</v>
          </cell>
          <cell r="R5">
            <v>3</v>
          </cell>
          <cell r="S5">
            <v>6</v>
          </cell>
          <cell r="T5">
            <v>15</v>
          </cell>
          <cell r="U5" t="str">
            <v>Low traffic</v>
          </cell>
          <cell r="V5">
            <v>359</v>
          </cell>
          <cell r="W5">
            <v>0</v>
          </cell>
          <cell r="X5">
            <v>359</v>
          </cell>
          <cell r="Y5">
            <v>0</v>
          </cell>
          <cell r="Z5" t="str">
            <v>CreateShippingPlan</v>
          </cell>
        </row>
        <row r="5">
          <cell r="AB5">
            <v>0</v>
          </cell>
          <cell r="AC5">
            <v>0</v>
          </cell>
          <cell r="AD5">
            <v>0</v>
          </cell>
          <cell r="AE5">
            <v>0</v>
          </cell>
          <cell r="AF5">
            <v>0.73</v>
          </cell>
          <cell r="AG5">
            <v>0.082704</v>
          </cell>
          <cell r="AH5" t="str">
            <v>cubic feet</v>
          </cell>
          <cell r="AI5" t="str">
            <v>Standard</v>
          </cell>
          <cell r="AJ5">
            <v>0.992448</v>
          </cell>
          <cell r="AK5" t="str">
            <v>US</v>
          </cell>
          <cell r="AL5" t="str">
            <v>gl_biss</v>
          </cell>
          <cell r="AM5">
            <v>383552</v>
          </cell>
          <cell r="AN5">
            <v>38</v>
          </cell>
          <cell r="AO5">
            <v>0</v>
          </cell>
          <cell r="AP5">
            <v>16</v>
          </cell>
          <cell r="AQ5">
            <v>10</v>
          </cell>
          <cell r="AR5">
            <v>359</v>
          </cell>
          <cell r="AS5">
            <v>0</v>
          </cell>
          <cell r="AT5">
            <v>1077</v>
          </cell>
          <cell r="AU5">
            <v>2154</v>
          </cell>
          <cell r="AV5">
            <v>5367.05</v>
          </cell>
          <cell r="AW5">
            <v>0</v>
          </cell>
          <cell r="AX5">
            <v>1</v>
          </cell>
          <cell r="AY5">
            <v>3</v>
          </cell>
          <cell r="AZ5">
            <v>0</v>
          </cell>
          <cell r="BA5">
            <v>0</v>
          </cell>
          <cell r="BB5">
            <v>0.6</v>
          </cell>
          <cell r="BC5">
            <v>0</v>
          </cell>
          <cell r="BD5">
            <v>0</v>
          </cell>
          <cell r="BE5">
            <v>0</v>
          </cell>
          <cell r="BF5">
            <v>0</v>
          </cell>
        </row>
        <row r="5">
          <cell r="BH5">
            <v>1</v>
          </cell>
          <cell r="BI5">
            <v>0</v>
          </cell>
        </row>
        <row r="5">
          <cell r="BZ5">
            <v>139.5</v>
          </cell>
          <cell r="CA5">
            <v>14</v>
          </cell>
          <cell r="CB5" t="str">
            <v>Low stock</v>
          </cell>
          <cell r="CC5">
            <v>11</v>
          </cell>
          <cell r="CD5">
            <v>46191</v>
          </cell>
          <cell r="CE5">
            <v>46181</v>
          </cell>
          <cell r="CF5" t="str">
            <v>Yes</v>
          </cell>
          <cell r="CG5" t="str">
            <v>No</v>
          </cell>
          <cell r="CH5">
            <v>139.5</v>
          </cell>
          <cell r="CI5">
            <v>88.1</v>
          </cell>
          <cell r="CJ5">
            <v>46182</v>
          </cell>
          <cell r="CK5">
            <v>12</v>
          </cell>
          <cell r="CL5">
            <v>0</v>
          </cell>
          <cell r="CM5">
            <v>1</v>
          </cell>
          <cell r="CN5">
            <v>0</v>
          </cell>
        </row>
        <row r="6">
          <cell r="A6" t="str">
            <v>X0047I57EV</v>
          </cell>
          <cell r="B6" t="str">
            <v>Amazon US</v>
          </cell>
          <cell r="C6" t="str">
            <v>US Moose Standard</v>
          </cell>
          <cell r="D6" t="str">
            <v>X0047I57EV</v>
          </cell>
          <cell r="E6" t="str">
            <v>B0DGPBTLSS</v>
          </cell>
          <cell r="F6" t="str">
            <v>3DMakerpro 3D Scanner for 3D Printing, Handheld 3D Model Scanner Moose with 0.03mm High Detailed Precision, 24-bit Color Camera, Anti-Shake Lenses, Compatible with Windows/MacOS, Standard</v>
          </cell>
          <cell r="G6" t="str">
            <v>New</v>
          </cell>
          <cell r="H6">
            <v>1</v>
          </cell>
          <cell r="I6">
            <v>0</v>
          </cell>
          <cell r="J6">
            <v>0</v>
          </cell>
          <cell r="K6">
            <v>0</v>
          </cell>
          <cell r="L6">
            <v>1</v>
          </cell>
          <cell r="M6">
            <v>0</v>
          </cell>
          <cell r="N6">
            <v>0</v>
          </cell>
          <cell r="O6">
            <v>0</v>
          </cell>
          <cell r="P6" t="str">
            <v>USD</v>
          </cell>
          <cell r="Q6">
            <v>0</v>
          </cell>
          <cell r="R6">
            <v>0</v>
          </cell>
          <cell r="S6">
            <v>1</v>
          </cell>
          <cell r="T6">
            <v>1</v>
          </cell>
          <cell r="U6" t="str">
            <v>Low traffic</v>
          </cell>
          <cell r="V6">
            <v>699</v>
          </cell>
          <cell r="W6">
            <v>699</v>
          </cell>
          <cell r="X6">
            <v>699</v>
          </cell>
          <cell r="Y6">
            <v>0</v>
          </cell>
          <cell r="Z6" t="str">
            <v>NoRestockExcessActionRequired</v>
          </cell>
        </row>
        <row r="6">
          <cell r="AB6">
            <v>0</v>
          </cell>
          <cell r="AC6">
            <v>0</v>
          </cell>
          <cell r="AD6">
            <v>0</v>
          </cell>
          <cell r="AE6">
            <v>406.23</v>
          </cell>
          <cell r="AF6">
            <v>0.68</v>
          </cell>
          <cell r="AG6">
            <v>0.061854</v>
          </cell>
          <cell r="AH6" t="str">
            <v>cubic feet</v>
          </cell>
          <cell r="AI6" t="str">
            <v>Standard</v>
          </cell>
          <cell r="AJ6">
            <v>0.061854</v>
          </cell>
          <cell r="AK6" t="str">
            <v>US</v>
          </cell>
          <cell r="AL6" t="str">
            <v>gl_biss</v>
          </cell>
          <cell r="AM6">
            <v>499562</v>
          </cell>
          <cell r="AN6">
            <v>22</v>
          </cell>
          <cell r="AO6">
            <v>0</v>
          </cell>
        </row>
        <row r="6">
          <cell r="AQ6">
            <v>13</v>
          </cell>
          <cell r="AR6">
            <v>699</v>
          </cell>
          <cell r="AS6">
            <v>0</v>
          </cell>
          <cell r="AT6">
            <v>0</v>
          </cell>
          <cell r="AU6">
            <v>699</v>
          </cell>
          <cell r="AV6">
            <v>699</v>
          </cell>
          <cell r="AW6">
            <v>0</v>
          </cell>
          <cell r="AX6">
            <v>0</v>
          </cell>
          <cell r="AY6">
            <v>0</v>
          </cell>
          <cell r="AZ6">
            <v>1</v>
          </cell>
          <cell r="BA6">
            <v>0</v>
          </cell>
          <cell r="BB6">
            <v>0.11</v>
          </cell>
          <cell r="BC6">
            <v>0</v>
          </cell>
          <cell r="BD6">
            <v>0</v>
          </cell>
          <cell r="BE6">
            <v>0</v>
          </cell>
          <cell r="BF6">
            <v>0</v>
          </cell>
        </row>
        <row r="6">
          <cell r="BH6">
            <v>0</v>
          </cell>
          <cell r="BI6">
            <v>0</v>
          </cell>
          <cell r="BJ6">
            <v>0</v>
          </cell>
          <cell r="BK6">
            <v>0</v>
          </cell>
          <cell r="BL6">
            <v>1</v>
          </cell>
          <cell r="BM6">
            <v>0.06</v>
          </cell>
          <cell r="BN6">
            <v>0</v>
          </cell>
          <cell r="BO6">
            <v>0</v>
          </cell>
          <cell r="BP6">
            <v>0</v>
          </cell>
          <cell r="BQ6">
            <v>0</v>
          </cell>
          <cell r="BR6">
            <v>0</v>
          </cell>
          <cell r="BS6">
            <v>0</v>
          </cell>
          <cell r="BT6">
            <v>0</v>
          </cell>
          <cell r="BU6">
            <v>0</v>
          </cell>
          <cell r="BV6">
            <v>0</v>
          </cell>
          <cell r="BW6">
            <v>0</v>
          </cell>
          <cell r="BX6">
            <v>0</v>
          </cell>
          <cell r="BY6">
            <v>0</v>
          </cell>
        </row>
        <row r="6">
          <cell r="CA6">
            <v>1</v>
          </cell>
          <cell r="CB6" t="str">
            <v>Healthy</v>
          </cell>
          <cell r="CC6">
            <v>4</v>
          </cell>
          <cell r="CD6">
            <v>46186</v>
          </cell>
        </row>
        <row r="6">
          <cell r="CI6">
            <v>145</v>
          </cell>
          <cell r="CJ6">
            <v>46182</v>
          </cell>
          <cell r="CK6">
            <v>1</v>
          </cell>
          <cell r="CL6">
            <v>0</v>
          </cell>
          <cell r="CM6">
            <v>0</v>
          </cell>
          <cell r="CN6">
            <v>0</v>
          </cell>
        </row>
        <row r="7">
          <cell r="A7" t="str">
            <v>X004T6FCUZ</v>
          </cell>
          <cell r="B7" t="str">
            <v>Amazon US</v>
          </cell>
          <cell r="C7" t="str">
            <v>US Moose Advanced</v>
          </cell>
          <cell r="D7" t="str">
            <v>X004T6FCUZ</v>
          </cell>
          <cell r="E7" t="str">
            <v>B0FN7THLFX</v>
          </cell>
          <cell r="F7" t="str">
            <v>3DMakerpro 3D Scanner for 3D Printing, Handheld 3D Model Scanners with 0.05mm High Detailed Precision, Intelligent Pre and Post Data Processing, Compatible with Windows/MacOS, Moose (Advanced)</v>
          </cell>
          <cell r="G7" t="str">
            <v>New</v>
          </cell>
          <cell r="H7">
            <v>1</v>
          </cell>
          <cell r="I7">
            <v>0</v>
          </cell>
          <cell r="J7">
            <v>2</v>
          </cell>
          <cell r="K7">
            <v>0</v>
          </cell>
          <cell r="L7">
            <v>0</v>
          </cell>
          <cell r="M7">
            <v>0</v>
          </cell>
          <cell r="N7">
            <v>0</v>
          </cell>
          <cell r="O7">
            <v>0</v>
          </cell>
          <cell r="P7" t="str">
            <v>USD</v>
          </cell>
          <cell r="Q7">
            <v>0</v>
          </cell>
          <cell r="R7">
            <v>2</v>
          </cell>
          <cell r="S7">
            <v>4</v>
          </cell>
          <cell r="T7">
            <v>5</v>
          </cell>
        </row>
        <row r="7">
          <cell r="V7">
            <v>759</v>
          </cell>
          <cell r="W7">
            <v>759</v>
          </cell>
          <cell r="X7">
            <v>0</v>
          </cell>
          <cell r="Y7">
            <v>0</v>
          </cell>
          <cell r="Z7" t="str">
            <v>CreateShippingPlan</v>
          </cell>
        </row>
        <row r="7">
          <cell r="AB7">
            <v>0</v>
          </cell>
          <cell r="AC7">
            <v>0</v>
          </cell>
          <cell r="AD7">
            <v>0</v>
          </cell>
          <cell r="AE7">
            <v>0</v>
          </cell>
          <cell r="AF7">
            <v>0.16</v>
          </cell>
          <cell r="AG7">
            <v>0.24425</v>
          </cell>
          <cell r="AH7" t="str">
            <v>cubic feet</v>
          </cell>
          <cell r="AI7" t="str">
            <v>Standard</v>
          </cell>
          <cell r="AJ7">
            <v>0.24425</v>
          </cell>
          <cell r="AK7" t="str">
            <v>US</v>
          </cell>
          <cell r="AL7" t="str">
            <v>gl_biss</v>
          </cell>
          <cell r="AM7">
            <v>449695</v>
          </cell>
          <cell r="AN7">
            <v>18</v>
          </cell>
          <cell r="AO7">
            <v>0</v>
          </cell>
          <cell r="AP7">
            <v>2</v>
          </cell>
          <cell r="AQ7">
            <v>2</v>
          </cell>
          <cell r="AR7">
            <v>759</v>
          </cell>
          <cell r="AS7">
            <v>0</v>
          </cell>
          <cell r="AT7">
            <v>1480.05</v>
          </cell>
          <cell r="AU7">
            <v>2960.1</v>
          </cell>
          <cell r="AV7">
            <v>3719.1</v>
          </cell>
          <cell r="AW7">
            <v>1</v>
          </cell>
          <cell r="AX7">
            <v>1</v>
          </cell>
          <cell r="AY7">
            <v>0</v>
          </cell>
          <cell r="AZ7">
            <v>0</v>
          </cell>
          <cell r="BA7">
            <v>0</v>
          </cell>
          <cell r="BB7">
            <v>0.35</v>
          </cell>
          <cell r="BC7">
            <v>0</v>
          </cell>
          <cell r="BD7">
            <v>0</v>
          </cell>
          <cell r="BE7">
            <v>0</v>
          </cell>
          <cell r="BF7">
            <v>0</v>
          </cell>
        </row>
        <row r="7">
          <cell r="BH7">
            <v>0</v>
          </cell>
          <cell r="BI7">
            <v>0</v>
          </cell>
        </row>
        <row r="7">
          <cell r="BZ7">
            <v>534</v>
          </cell>
          <cell r="CA7">
            <v>7</v>
          </cell>
          <cell r="CB7" t="str">
            <v>Low stock</v>
          </cell>
          <cell r="CC7">
            <v>9</v>
          </cell>
          <cell r="CD7">
            <v>46191</v>
          </cell>
          <cell r="CE7">
            <v>46181</v>
          </cell>
          <cell r="CF7" t="str">
            <v>Yes</v>
          </cell>
          <cell r="CG7" t="str">
            <v>No</v>
          </cell>
          <cell r="CH7">
            <v>534</v>
          </cell>
          <cell r="CI7">
            <v>450.4</v>
          </cell>
          <cell r="CJ7">
            <v>46182</v>
          </cell>
          <cell r="CK7">
            <v>2</v>
          </cell>
          <cell r="CL7">
            <v>1</v>
          </cell>
          <cell r="CM7">
            <v>0</v>
          </cell>
          <cell r="CN7">
            <v>0</v>
          </cell>
        </row>
        <row r="8">
          <cell r="A8" t="str">
            <v>X004VFV0M3</v>
          </cell>
          <cell r="B8" t="str">
            <v>Amazon US</v>
          </cell>
          <cell r="C8" t="str">
            <v>US Moose Lite Basic Edition</v>
          </cell>
          <cell r="D8" t="str">
            <v>X004VFV0M3</v>
          </cell>
          <cell r="E8" t="str">
            <v>B0FW3VR66H</v>
          </cell>
          <cell r="F8" t="str">
            <v>3DMakerpro 3D Scanner for 3D Printing, Handheld 3D Printer Scanner 0.05mm Precision, 10FPS Scanning Speed for Medium Object, Support for Android/iOS/Win/MacOS, Moose Lite Standard</v>
          </cell>
          <cell r="G8" t="str">
            <v>New</v>
          </cell>
          <cell r="H8">
            <v>40</v>
          </cell>
          <cell r="I8">
            <v>0</v>
          </cell>
          <cell r="J8">
            <v>0</v>
          </cell>
          <cell r="K8">
            <v>80</v>
          </cell>
          <cell r="L8">
            <v>0</v>
          </cell>
          <cell r="M8">
            <v>0</v>
          </cell>
          <cell r="N8">
            <v>0</v>
          </cell>
          <cell r="O8">
            <v>0</v>
          </cell>
          <cell r="P8" t="str">
            <v>USD</v>
          </cell>
          <cell r="Q8">
            <v>0</v>
          </cell>
          <cell r="R8">
            <v>5</v>
          </cell>
          <cell r="S8">
            <v>6</v>
          </cell>
          <cell r="T8">
            <v>21</v>
          </cell>
          <cell r="U8" t="str">
            <v>Low traffic</v>
          </cell>
          <cell r="V8">
            <v>399</v>
          </cell>
          <cell r="W8">
            <v>0</v>
          </cell>
          <cell r="X8">
            <v>399</v>
          </cell>
          <cell r="Y8">
            <v>0</v>
          </cell>
          <cell r="Z8" t="str">
            <v>NoRestockExcessActionRequired</v>
          </cell>
        </row>
        <row r="8">
          <cell r="AB8">
            <v>0</v>
          </cell>
          <cell r="AC8">
            <v>0</v>
          </cell>
          <cell r="AD8">
            <v>0</v>
          </cell>
          <cell r="AE8">
            <v>907.74</v>
          </cell>
          <cell r="AF8">
            <v>0.31</v>
          </cell>
          <cell r="AG8">
            <v>0.064797</v>
          </cell>
          <cell r="AH8" t="str">
            <v>cubic feet</v>
          </cell>
          <cell r="AI8" t="str">
            <v>Standard</v>
          </cell>
          <cell r="AJ8">
            <v>2.59188</v>
          </cell>
          <cell r="AK8" t="str">
            <v>US</v>
          </cell>
          <cell r="AL8" t="str">
            <v>gl_biss</v>
          </cell>
          <cell r="AM8">
            <v>361027</v>
          </cell>
          <cell r="AN8">
            <v>217</v>
          </cell>
          <cell r="AO8">
            <v>7</v>
          </cell>
          <cell r="AP8">
            <v>32</v>
          </cell>
          <cell r="AQ8">
            <v>24</v>
          </cell>
          <cell r="AR8">
            <v>399</v>
          </cell>
          <cell r="AS8">
            <v>0</v>
          </cell>
          <cell r="AT8">
            <v>1995</v>
          </cell>
          <cell r="AU8">
            <v>2394</v>
          </cell>
          <cell r="AV8">
            <v>8435</v>
          </cell>
          <cell r="AW8">
            <v>0</v>
          </cell>
          <cell r="AX8">
            <v>0</v>
          </cell>
          <cell r="AY8">
            <v>0</v>
          </cell>
          <cell r="AZ8">
            <v>0</v>
          </cell>
          <cell r="BA8">
            <v>0</v>
          </cell>
          <cell r="BB8">
            <v>1.85</v>
          </cell>
          <cell r="BC8">
            <v>0</v>
          </cell>
          <cell r="BD8">
            <v>0</v>
          </cell>
          <cell r="BE8">
            <v>0</v>
          </cell>
          <cell r="BF8">
            <v>0</v>
          </cell>
        </row>
        <row r="8">
          <cell r="BH8">
            <v>44</v>
          </cell>
          <cell r="BI8">
            <v>0</v>
          </cell>
        </row>
        <row r="8">
          <cell r="BZ8">
            <v>472</v>
          </cell>
          <cell r="CA8">
            <v>8</v>
          </cell>
          <cell r="CB8" t="str">
            <v>Excess</v>
          </cell>
        </row>
        <row r="8">
          <cell r="CE8">
            <v>46181</v>
          </cell>
          <cell r="CF8" t="str">
            <v>Yes</v>
          </cell>
          <cell r="CG8" t="str">
            <v>No</v>
          </cell>
          <cell r="CH8">
            <v>472</v>
          </cell>
          <cell r="CI8">
            <v>256.7</v>
          </cell>
          <cell r="CJ8">
            <v>46182</v>
          </cell>
          <cell r="CK8">
            <v>40</v>
          </cell>
          <cell r="CL8">
            <v>0</v>
          </cell>
          <cell r="CM8">
            <v>4</v>
          </cell>
          <cell r="CN8">
            <v>0</v>
          </cell>
        </row>
        <row r="9">
          <cell r="A9" t="str">
            <v>X0040T12X7</v>
          </cell>
          <cell r="B9" t="str">
            <v>Amazon US</v>
          </cell>
          <cell r="C9" t="str">
            <v>US Turntable for Mole</v>
          </cell>
          <cell r="D9" t="str">
            <v>X0040T12X7</v>
          </cell>
          <cell r="E9" t="str">
            <v>B0CM3GTSNC</v>
          </cell>
          <cell r="F9" t="str">
            <v>3DMakerpro Turntable for 3D Scanner Seal Mole &amp; Seal Lite</v>
          </cell>
          <cell r="G9" t="str">
            <v>New</v>
          </cell>
          <cell r="H9">
            <v>57</v>
          </cell>
          <cell r="I9">
            <v>0</v>
          </cell>
          <cell r="J9">
            <v>2</v>
          </cell>
          <cell r="K9">
            <v>56</v>
          </cell>
          <cell r="L9">
            <v>0</v>
          </cell>
          <cell r="M9">
            <v>0</v>
          </cell>
          <cell r="N9">
            <v>0</v>
          </cell>
          <cell r="O9">
            <v>0</v>
          </cell>
          <cell r="P9" t="str">
            <v>USD</v>
          </cell>
          <cell r="Q9">
            <v>4</v>
          </cell>
          <cell r="R9">
            <v>9</v>
          </cell>
          <cell r="S9">
            <v>12</v>
          </cell>
          <cell r="T9">
            <v>15</v>
          </cell>
          <cell r="U9" t="str">
            <v>Low traffic</v>
          </cell>
          <cell r="V9">
            <v>29</v>
          </cell>
          <cell r="W9">
            <v>29</v>
          </cell>
          <cell r="X9">
            <v>29</v>
          </cell>
          <cell r="Y9">
            <v>0</v>
          </cell>
          <cell r="Z9" t="str">
            <v>NoRestockExcessActionRequired</v>
          </cell>
        </row>
        <row r="9">
          <cell r="AB9">
            <v>0</v>
          </cell>
          <cell r="AC9">
            <v>0</v>
          </cell>
          <cell r="AD9">
            <v>0</v>
          </cell>
          <cell r="AE9">
            <v>119.21</v>
          </cell>
          <cell r="AF9">
            <v>0.22</v>
          </cell>
          <cell r="AG9">
            <v>0.171302</v>
          </cell>
          <cell r="AH9" t="str">
            <v>cubic feet</v>
          </cell>
          <cell r="AI9" t="str">
            <v>Standard</v>
          </cell>
          <cell r="AJ9">
            <v>9.764214</v>
          </cell>
          <cell r="AK9" t="str">
            <v>US</v>
          </cell>
          <cell r="AL9" t="str">
            <v>gl_biss</v>
          </cell>
          <cell r="AM9">
            <v>103165</v>
          </cell>
          <cell r="AN9">
            <v>208</v>
          </cell>
          <cell r="AO9">
            <v>40</v>
          </cell>
          <cell r="AP9">
            <v>25</v>
          </cell>
          <cell r="AQ9">
            <v>49</v>
          </cell>
          <cell r="AR9">
            <v>29</v>
          </cell>
          <cell r="AS9">
            <v>116</v>
          </cell>
          <cell r="AT9">
            <v>258.08</v>
          </cell>
          <cell r="AU9">
            <v>345.08</v>
          </cell>
          <cell r="AV9">
            <v>432.08</v>
          </cell>
          <cell r="AW9">
            <v>0</v>
          </cell>
          <cell r="AX9">
            <v>1</v>
          </cell>
          <cell r="AY9">
            <v>1</v>
          </cell>
          <cell r="AZ9">
            <v>0</v>
          </cell>
          <cell r="BA9">
            <v>0</v>
          </cell>
          <cell r="BB9">
            <v>6.77</v>
          </cell>
          <cell r="BC9">
            <v>0</v>
          </cell>
          <cell r="BD9">
            <v>0</v>
          </cell>
          <cell r="BE9">
            <v>0</v>
          </cell>
          <cell r="BF9">
            <v>0</v>
          </cell>
        </row>
        <row r="9">
          <cell r="BH9">
            <v>0</v>
          </cell>
          <cell r="BI9">
            <v>0</v>
          </cell>
        </row>
        <row r="9">
          <cell r="BZ9">
            <v>470.2</v>
          </cell>
          <cell r="CA9">
            <v>13</v>
          </cell>
          <cell r="CB9" t="str">
            <v>Excess</v>
          </cell>
        </row>
        <row r="9">
          <cell r="CE9">
            <v>46181</v>
          </cell>
          <cell r="CF9" t="str">
            <v>Yes</v>
          </cell>
          <cell r="CG9" t="str">
            <v>No</v>
          </cell>
          <cell r="CH9">
            <v>320.3</v>
          </cell>
          <cell r="CI9">
            <v>470.2</v>
          </cell>
          <cell r="CJ9">
            <v>46182</v>
          </cell>
          <cell r="CK9">
            <v>57</v>
          </cell>
          <cell r="CL9">
            <v>0</v>
          </cell>
          <cell r="CM9">
            <v>0</v>
          </cell>
          <cell r="CN9">
            <v>0</v>
          </cell>
        </row>
        <row r="10">
          <cell r="A10" t="str">
            <v>X004T6HDMP</v>
          </cell>
          <cell r="B10" t="str">
            <v>Amazon US</v>
          </cell>
          <cell r="C10" t="str">
            <v>US Seal Lite Advanced</v>
          </cell>
          <cell r="D10" t="str">
            <v>X004T6HDMP</v>
          </cell>
          <cell r="E10" t="str">
            <v>B0FN7R56KL</v>
          </cell>
          <cell r="F10" t="str">
            <v>3DMakerpro Handheld 3D Scanner for 3D Printer, 0.02mm High Detailed Precision, 10FPS Scanning Lightning-Fast Speed with Anti-Shake Lenses, 3D Model Scanner for Windows/MacOS - Seal Lite Advanced</v>
          </cell>
          <cell r="G10" t="str">
            <v>New</v>
          </cell>
          <cell r="H10">
            <v>0</v>
          </cell>
          <cell r="I10">
            <v>0</v>
          </cell>
          <cell r="J10">
            <v>7</v>
          </cell>
          <cell r="K10">
            <v>35</v>
          </cell>
          <cell r="L10">
            <v>0</v>
          </cell>
          <cell r="M10">
            <v>0</v>
          </cell>
          <cell r="N10">
            <v>0</v>
          </cell>
          <cell r="O10">
            <v>0</v>
          </cell>
          <cell r="P10" t="str">
            <v>USD</v>
          </cell>
          <cell r="Q10">
            <v>0</v>
          </cell>
          <cell r="R10">
            <v>8</v>
          </cell>
          <cell r="S10">
            <v>18</v>
          </cell>
          <cell r="T10">
            <v>28</v>
          </cell>
          <cell r="U10" t="str">
            <v>Low traffic</v>
          </cell>
          <cell r="V10">
            <v>419</v>
          </cell>
          <cell r="W10">
            <v>0</v>
          </cell>
          <cell r="X10">
            <v>419</v>
          </cell>
          <cell r="Y10">
            <v>0</v>
          </cell>
          <cell r="Z10" t="str">
            <v>CreateShippingPlan</v>
          </cell>
        </row>
        <row r="10">
          <cell r="AC10">
            <v>0</v>
          </cell>
          <cell r="AD10">
            <v>0</v>
          </cell>
        </row>
        <row r="10">
          <cell r="AF10">
            <v>0.58</v>
          </cell>
          <cell r="AG10">
            <v>0.507749</v>
          </cell>
          <cell r="AH10" t="str">
            <v>cubic feet</v>
          </cell>
          <cell r="AI10" t="str">
            <v>Standard</v>
          </cell>
          <cell r="AJ10">
            <v>0</v>
          </cell>
          <cell r="AK10" t="str">
            <v>US</v>
          </cell>
          <cell r="AL10" t="str">
            <v>gl_biss</v>
          </cell>
        </row>
        <row r="10">
          <cell r="AN10">
            <v>0</v>
          </cell>
          <cell r="AO10">
            <v>0</v>
          </cell>
          <cell r="AP10">
            <v>0</v>
          </cell>
          <cell r="AQ10">
            <v>0</v>
          </cell>
          <cell r="AR10">
            <v>419</v>
          </cell>
          <cell r="AS10">
            <v>0</v>
          </cell>
          <cell r="AT10">
            <v>3352</v>
          </cell>
          <cell r="AU10">
            <v>7500.08</v>
          </cell>
          <cell r="AV10">
            <v>11627.23</v>
          </cell>
          <cell r="AW10">
            <v>2</v>
          </cell>
          <cell r="AX10">
            <v>3</v>
          </cell>
          <cell r="AY10">
            <v>2</v>
          </cell>
          <cell r="AZ10">
            <v>0</v>
          </cell>
          <cell r="BA10">
            <v>0</v>
          </cell>
        </row>
        <row r="10">
          <cell r="BC10">
            <v>0</v>
          </cell>
          <cell r="BD10">
            <v>0</v>
          </cell>
          <cell r="BE10">
            <v>0</v>
          </cell>
          <cell r="BF10">
            <v>0</v>
          </cell>
        </row>
        <row r="10">
          <cell r="BH10">
            <v>40</v>
          </cell>
          <cell r="BI10">
            <v>0</v>
          </cell>
        </row>
        <row r="10">
          <cell r="BZ10">
            <v>166.6</v>
          </cell>
          <cell r="CA10">
            <v>16</v>
          </cell>
          <cell r="CB10" t="str">
            <v>Out of stock</v>
          </cell>
          <cell r="CC10">
            <v>30</v>
          </cell>
          <cell r="CD10">
            <v>46184</v>
          </cell>
          <cell r="CE10">
            <v>46181</v>
          </cell>
          <cell r="CF10" t="str">
            <v>Yes</v>
          </cell>
          <cell r="CG10" t="str">
            <v>No</v>
          </cell>
          <cell r="CH10">
            <v>166.6</v>
          </cell>
          <cell r="CI10">
            <v>143.9</v>
          </cell>
          <cell r="CJ10">
            <v>46182</v>
          </cell>
          <cell r="CK10">
            <v>0</v>
          </cell>
          <cell r="CL10">
            <v>0</v>
          </cell>
          <cell r="CM10">
            <v>40</v>
          </cell>
          <cell r="CN10">
            <v>0</v>
          </cell>
        </row>
        <row r="11">
          <cell r="A11" t="str">
            <v>X0051INF2H</v>
          </cell>
          <cell r="B11" t="str">
            <v>Amazon US</v>
          </cell>
          <cell r="C11" t="str">
            <v>US Moose Advanced Kit-used</v>
          </cell>
          <cell r="D11" t="str">
            <v>X0051INF2H</v>
          </cell>
          <cell r="E11" t="str">
            <v>B0GT4R8G74</v>
          </cell>
          <cell r="F11" t="str">
            <v>3DMakerpro 3D Scanner for 3D Printing, Handheld 3D Model Scanners with 0.05mm High Detailed Precision, Intelligent Pre and Post Data Processing, Compatible with Windows/MacOS</v>
          </cell>
          <cell r="G11" t="str">
            <v>Used</v>
          </cell>
          <cell r="H11">
            <v>5</v>
          </cell>
          <cell r="I11">
            <v>0</v>
          </cell>
          <cell r="J11">
            <v>6</v>
          </cell>
          <cell r="K11">
            <v>0</v>
          </cell>
          <cell r="L11">
            <v>0</v>
          </cell>
          <cell r="M11">
            <v>0</v>
          </cell>
          <cell r="N11">
            <v>0</v>
          </cell>
          <cell r="O11">
            <v>0</v>
          </cell>
          <cell r="P11" t="str">
            <v>USD</v>
          </cell>
        </row>
        <row r="11">
          <cell r="U11" t="str">
            <v>Low traffic</v>
          </cell>
          <cell r="V11">
            <v>419</v>
          </cell>
          <cell r="W11">
            <v>0</v>
          </cell>
          <cell r="X11">
            <v>0</v>
          </cell>
          <cell r="Y11">
            <v>419</v>
          </cell>
          <cell r="Z11" t="str">
            <v>Advertise listing</v>
          </cell>
        </row>
        <row r="11">
          <cell r="AB11">
            <v>0</v>
          </cell>
          <cell r="AC11">
            <v>0</v>
          </cell>
          <cell r="AD11">
            <v>0</v>
          </cell>
          <cell r="AE11">
            <v>0</v>
          </cell>
          <cell r="AF11">
            <v>0.48</v>
          </cell>
          <cell r="AG11">
            <v>0.241139</v>
          </cell>
          <cell r="AH11" t="str">
            <v>cubic feet</v>
          </cell>
          <cell r="AI11" t="str">
            <v>Standard</v>
          </cell>
          <cell r="AJ11">
            <v>1.205695</v>
          </cell>
          <cell r="AK11" t="str">
            <v>US</v>
          </cell>
          <cell r="AL11" t="str">
            <v>gl_biss</v>
          </cell>
        </row>
        <row r="11">
          <cell r="AN11">
            <v>13</v>
          </cell>
          <cell r="AO11">
            <v>0</v>
          </cell>
        </row>
        <row r="11">
          <cell r="AR11">
            <v>419</v>
          </cell>
        </row>
        <row r="11">
          <cell r="AW11">
            <v>0</v>
          </cell>
          <cell r="AX11">
            <v>0</v>
          </cell>
          <cell r="AY11">
            <v>6</v>
          </cell>
          <cell r="AZ11">
            <v>0</v>
          </cell>
          <cell r="BA11">
            <v>0</v>
          </cell>
          <cell r="BB11">
            <v>0.24</v>
          </cell>
          <cell r="BC11">
            <v>0</v>
          </cell>
          <cell r="BD11">
            <v>0</v>
          </cell>
          <cell r="BE11">
            <v>0</v>
          </cell>
          <cell r="BF11">
            <v>0</v>
          </cell>
        </row>
        <row r="11">
          <cell r="BH11">
            <v>0</v>
          </cell>
          <cell r="BI11">
            <v>0</v>
          </cell>
        </row>
        <row r="11">
          <cell r="CC11">
            <v>18</v>
          </cell>
          <cell r="CD11">
            <v>46191</v>
          </cell>
        </row>
        <row r="11">
          <cell r="CJ11">
            <v>46182</v>
          </cell>
          <cell r="CK11">
            <v>5</v>
          </cell>
          <cell r="CL11">
            <v>0</v>
          </cell>
          <cell r="CM11">
            <v>0</v>
          </cell>
          <cell r="CN11">
            <v>0</v>
          </cell>
        </row>
        <row r="12">
          <cell r="A12" t="str">
            <v>X0050AVFXH</v>
          </cell>
          <cell r="B12" t="str">
            <v>Amazon US</v>
          </cell>
          <cell r="C12" t="str">
            <v>US Moose Standard Version New</v>
          </cell>
          <cell r="D12" t="str">
            <v>X0050AVFXH</v>
          </cell>
          <cell r="E12" t="str">
            <v>B0GMYSNVKK</v>
          </cell>
          <cell r="F12" t="str">
            <v>3DMakerpro 3D Scanner for 3D Printing, Handheld 3D Model Scanners with 0.05mm High Detailed Precision, Intelligent Pre and Post Data Processing, Compatible with Windows/MacOS-Moose Standard Version</v>
          </cell>
          <cell r="G12" t="str">
            <v>New</v>
          </cell>
          <cell r="H12">
            <v>12</v>
          </cell>
          <cell r="I12">
            <v>0</v>
          </cell>
          <cell r="J12">
            <v>13</v>
          </cell>
          <cell r="K12">
            <v>0</v>
          </cell>
          <cell r="L12">
            <v>0</v>
          </cell>
          <cell r="M12">
            <v>0</v>
          </cell>
          <cell r="N12">
            <v>0</v>
          </cell>
          <cell r="O12">
            <v>0</v>
          </cell>
          <cell r="P12" t="str">
            <v>USD</v>
          </cell>
          <cell r="Q12">
            <v>0</v>
          </cell>
          <cell r="R12">
            <v>6</v>
          </cell>
          <cell r="S12">
            <v>6</v>
          </cell>
          <cell r="T12">
            <v>6</v>
          </cell>
          <cell r="U12" t="str">
            <v>Low traffic</v>
          </cell>
          <cell r="V12">
            <v>699</v>
          </cell>
          <cell r="W12">
            <v>0</v>
          </cell>
          <cell r="X12">
            <v>699</v>
          </cell>
          <cell r="Y12">
            <v>664.05</v>
          </cell>
          <cell r="Z12" t="str">
            <v>NoRestockExcessActionRequired</v>
          </cell>
        </row>
        <row r="12">
          <cell r="AB12">
            <v>0</v>
          </cell>
          <cell r="AC12">
            <v>0</v>
          </cell>
          <cell r="AD12">
            <v>0</v>
          </cell>
          <cell r="AE12">
            <v>950.05</v>
          </cell>
          <cell r="AF12">
            <v>0.26</v>
          </cell>
          <cell r="AG12">
            <v>0.058304</v>
          </cell>
          <cell r="AH12" t="str">
            <v>cubic feet</v>
          </cell>
          <cell r="AI12" t="str">
            <v>Standard</v>
          </cell>
          <cell r="AJ12">
            <v>0.699648</v>
          </cell>
          <cell r="AK12" t="str">
            <v>US</v>
          </cell>
          <cell r="AL12" t="str">
            <v>gl_biss</v>
          </cell>
          <cell r="AM12">
            <v>647126</v>
          </cell>
          <cell r="AN12">
            <v>99</v>
          </cell>
          <cell r="AO12">
            <v>0</v>
          </cell>
          <cell r="AP12">
            <v>8</v>
          </cell>
          <cell r="AQ12">
            <v>26</v>
          </cell>
          <cell r="AR12">
            <v>664.05</v>
          </cell>
          <cell r="AS12">
            <v>0</v>
          </cell>
          <cell r="AT12">
            <v>4194</v>
          </cell>
          <cell r="AU12">
            <v>4194</v>
          </cell>
          <cell r="AV12">
            <v>4194</v>
          </cell>
          <cell r="AW12">
            <v>0</v>
          </cell>
          <cell r="AX12">
            <v>2</v>
          </cell>
          <cell r="AY12">
            <v>11</v>
          </cell>
          <cell r="AZ12">
            <v>0</v>
          </cell>
          <cell r="BA12">
            <v>0</v>
          </cell>
          <cell r="BB12">
            <v>0.5</v>
          </cell>
          <cell r="BC12">
            <v>0</v>
          </cell>
          <cell r="BD12">
            <v>0</v>
          </cell>
          <cell r="BE12">
            <v>0</v>
          </cell>
          <cell r="BF12">
            <v>0</v>
          </cell>
        </row>
        <row r="12">
          <cell r="BH12">
            <v>1</v>
          </cell>
          <cell r="BI12">
            <v>0</v>
          </cell>
        </row>
        <row r="12">
          <cell r="BZ12">
            <v>181.2</v>
          </cell>
          <cell r="CA12">
            <v>56</v>
          </cell>
          <cell r="CB12" t="str">
            <v>Low stock</v>
          </cell>
          <cell r="CC12">
            <v>71</v>
          </cell>
          <cell r="CD12">
            <v>46186</v>
          </cell>
          <cell r="CE12">
            <v>46181</v>
          </cell>
          <cell r="CF12" t="str">
            <v>Yes</v>
          </cell>
          <cell r="CG12" t="str">
            <v>No</v>
          </cell>
          <cell r="CH12">
            <v>71.5</v>
          </cell>
          <cell r="CI12">
            <v>181.2</v>
          </cell>
          <cell r="CJ12">
            <v>46182</v>
          </cell>
          <cell r="CK12">
            <v>12</v>
          </cell>
          <cell r="CL12">
            <v>0</v>
          </cell>
          <cell r="CM12">
            <v>0</v>
          </cell>
          <cell r="CN12">
            <v>0</v>
          </cell>
        </row>
        <row r="13">
          <cell r="A13" t="str">
            <v>X0050AZ493</v>
          </cell>
          <cell r="B13" t="str">
            <v>Amazon US</v>
          </cell>
          <cell r="C13" t="str">
            <v>US 3DMakerpro Moose Turntable</v>
          </cell>
          <cell r="D13" t="str">
            <v>X0050AZ493</v>
          </cell>
          <cell r="E13" t="str">
            <v>B0GMYYQL2J</v>
          </cell>
          <cell r="F13" t="str">
            <v>3DMakerpro Turntable Kit for 3D Scanners Moose, Moose Lite, Seal and Seal Lite Series</v>
          </cell>
          <cell r="G13" t="str">
            <v>New</v>
          </cell>
          <cell r="H13">
            <v>33</v>
          </cell>
          <cell r="I13">
            <v>0</v>
          </cell>
          <cell r="J13">
            <v>33</v>
          </cell>
          <cell r="K13">
            <v>0</v>
          </cell>
          <cell r="L13">
            <v>0</v>
          </cell>
          <cell r="M13">
            <v>0</v>
          </cell>
          <cell r="N13">
            <v>0</v>
          </cell>
          <cell r="O13">
            <v>0</v>
          </cell>
          <cell r="P13" t="str">
            <v>USD</v>
          </cell>
          <cell r="Q13">
            <v>0</v>
          </cell>
          <cell r="R13">
            <v>3</v>
          </cell>
          <cell r="S13">
            <v>15</v>
          </cell>
          <cell r="T13">
            <v>15</v>
          </cell>
          <cell r="U13" t="str">
            <v>Low traffic</v>
          </cell>
          <cell r="V13">
            <v>29</v>
          </cell>
          <cell r="W13">
            <v>0</v>
          </cell>
          <cell r="X13">
            <v>29</v>
          </cell>
          <cell r="Y13">
            <v>0</v>
          </cell>
          <cell r="Z13" t="str">
            <v>Advertise listing</v>
          </cell>
        </row>
        <row r="13">
          <cell r="AB13">
            <v>0</v>
          </cell>
          <cell r="AC13">
            <v>0</v>
          </cell>
          <cell r="AD13">
            <v>0</v>
          </cell>
          <cell r="AE13">
            <v>0</v>
          </cell>
          <cell r="AF13">
            <v>0.38</v>
          </cell>
          <cell r="AG13">
            <v>0.169654</v>
          </cell>
          <cell r="AH13" t="str">
            <v>cubic feet</v>
          </cell>
          <cell r="AI13" t="str">
            <v>Standard</v>
          </cell>
          <cell r="AJ13">
            <v>5.598582</v>
          </cell>
          <cell r="AK13" t="str">
            <v>US</v>
          </cell>
          <cell r="AL13" t="str">
            <v>gl_biss</v>
          </cell>
          <cell r="AM13">
            <v>447970</v>
          </cell>
          <cell r="AN13">
            <v>230</v>
          </cell>
          <cell r="AO13">
            <v>0</v>
          </cell>
          <cell r="AP13">
            <v>164</v>
          </cell>
          <cell r="AQ13">
            <v>106</v>
          </cell>
          <cell r="AR13">
            <v>29</v>
          </cell>
          <cell r="AS13">
            <v>0</v>
          </cell>
          <cell r="AT13">
            <v>87</v>
          </cell>
          <cell r="AU13">
            <v>435</v>
          </cell>
          <cell r="AV13">
            <v>435</v>
          </cell>
          <cell r="AW13">
            <v>0</v>
          </cell>
          <cell r="AX13">
            <v>1</v>
          </cell>
          <cell r="AY13">
            <v>32</v>
          </cell>
          <cell r="AZ13">
            <v>0</v>
          </cell>
          <cell r="BA13">
            <v>0</v>
          </cell>
          <cell r="BB13">
            <v>3.37</v>
          </cell>
          <cell r="BC13">
            <v>90</v>
          </cell>
          <cell r="BD13">
            <v>0</v>
          </cell>
          <cell r="BE13">
            <v>90</v>
          </cell>
          <cell r="BF13">
            <v>0</v>
          </cell>
        </row>
        <row r="13">
          <cell r="BH13">
            <v>0</v>
          </cell>
          <cell r="BI13">
            <v>0</v>
          </cell>
        </row>
        <row r="13">
          <cell r="BZ13">
            <v>349</v>
          </cell>
          <cell r="CA13">
            <v>20</v>
          </cell>
          <cell r="CB13" t="str">
            <v>Healthy</v>
          </cell>
        </row>
        <row r="13">
          <cell r="CE13">
            <v>46181</v>
          </cell>
          <cell r="CF13" t="str">
            <v>Yes</v>
          </cell>
          <cell r="CG13" t="str">
            <v>No</v>
          </cell>
          <cell r="CH13">
            <v>349</v>
          </cell>
          <cell r="CI13">
            <v>155.9</v>
          </cell>
          <cell r="CJ13">
            <v>46182</v>
          </cell>
          <cell r="CK13">
            <v>123</v>
          </cell>
          <cell r="CL13">
            <v>0</v>
          </cell>
          <cell r="CM13">
            <v>0</v>
          </cell>
          <cell r="CN13">
            <v>0</v>
          </cell>
        </row>
        <row r="14">
          <cell r="A14" t="str">
            <v>X004W8IL2L</v>
          </cell>
          <cell r="B14" t="str">
            <v>Amazon US</v>
          </cell>
          <cell r="C14" t="str">
            <v>US Smart Grip Cable</v>
          </cell>
          <cell r="D14" t="str">
            <v>X004W8IL2L</v>
          </cell>
          <cell r="E14" t="str">
            <v>B0FY69R3JQ</v>
          </cell>
          <cell r="F14" t="str">
            <v>3DMakerpro Data Cable</v>
          </cell>
          <cell r="G14" t="str">
            <v>New</v>
          </cell>
          <cell r="H14">
            <v>37</v>
          </cell>
          <cell r="I14">
            <v>0</v>
          </cell>
          <cell r="J14">
            <v>0</v>
          </cell>
          <cell r="K14">
            <v>0</v>
          </cell>
          <cell r="L14">
            <v>37</v>
          </cell>
          <cell r="M14">
            <v>0</v>
          </cell>
          <cell r="N14">
            <v>0</v>
          </cell>
          <cell r="O14">
            <v>0</v>
          </cell>
          <cell r="P14" t="str">
            <v>USD</v>
          </cell>
          <cell r="Q14">
            <v>0</v>
          </cell>
          <cell r="R14">
            <v>0</v>
          </cell>
          <cell r="S14">
            <v>0</v>
          </cell>
          <cell r="T14">
            <v>0</v>
          </cell>
          <cell r="U14" t="str">
            <v>Low traffic</v>
          </cell>
          <cell r="V14">
            <v>9.99</v>
          </cell>
          <cell r="W14">
            <v>0</v>
          </cell>
          <cell r="X14">
            <v>9.99</v>
          </cell>
          <cell r="Y14">
            <v>0</v>
          </cell>
          <cell r="Z14" t="str">
            <v>Create removal order</v>
          </cell>
        </row>
        <row r="14">
          <cell r="AB14">
            <v>6.99</v>
          </cell>
          <cell r="AC14">
            <v>52</v>
          </cell>
          <cell r="AD14">
            <v>0</v>
          </cell>
          <cell r="AE14">
            <v>203.33</v>
          </cell>
          <cell r="AF14">
            <v>0</v>
          </cell>
          <cell r="AG14" t="str">
            <v>5.79E-4</v>
          </cell>
          <cell r="AH14" t="str">
            <v>cubic feet</v>
          </cell>
          <cell r="AI14" t="str">
            <v>Standard</v>
          </cell>
          <cell r="AJ14">
            <v>0.021423</v>
          </cell>
          <cell r="AK14" t="str">
            <v>US</v>
          </cell>
          <cell r="AL14" t="str">
            <v>gl_biss</v>
          </cell>
        </row>
        <row r="14">
          <cell r="AN14">
            <v>366</v>
          </cell>
          <cell r="AO14">
            <v>37</v>
          </cell>
        </row>
        <row r="14">
          <cell r="AR14">
            <v>9.99</v>
          </cell>
          <cell r="AS14">
            <v>0</v>
          </cell>
          <cell r="AT14">
            <v>0</v>
          </cell>
          <cell r="AU14">
            <v>0</v>
          </cell>
          <cell r="AV14">
            <v>0</v>
          </cell>
          <cell r="AW14">
            <v>0</v>
          </cell>
          <cell r="AX14">
            <v>0</v>
          </cell>
          <cell r="AY14">
            <v>0</v>
          </cell>
          <cell r="AZ14">
            <v>37</v>
          </cell>
          <cell r="BA14">
            <v>0</v>
          </cell>
          <cell r="BB14">
            <v>0.03</v>
          </cell>
          <cell r="BC14">
            <v>0</v>
          </cell>
          <cell r="BD14">
            <v>0</v>
          </cell>
          <cell r="BE14">
            <v>0</v>
          </cell>
          <cell r="BF14">
            <v>0</v>
          </cell>
        </row>
        <row r="14">
          <cell r="BH14">
            <v>0</v>
          </cell>
          <cell r="BI14">
            <v>0</v>
          </cell>
          <cell r="BJ14">
            <v>9</v>
          </cell>
          <cell r="BK14">
            <v>0</v>
          </cell>
          <cell r="BL14">
            <v>28</v>
          </cell>
          <cell r="BM14">
            <v>0.03</v>
          </cell>
          <cell r="BN14">
            <v>0</v>
          </cell>
          <cell r="BO14">
            <v>0</v>
          </cell>
          <cell r="BP14">
            <v>0</v>
          </cell>
          <cell r="BQ14">
            <v>0</v>
          </cell>
          <cell r="BR14">
            <v>0</v>
          </cell>
          <cell r="BS14">
            <v>0</v>
          </cell>
          <cell r="BT14">
            <v>0</v>
          </cell>
          <cell r="BU14">
            <v>0</v>
          </cell>
          <cell r="BV14">
            <v>0</v>
          </cell>
          <cell r="BW14">
            <v>0</v>
          </cell>
          <cell r="BX14">
            <v>0</v>
          </cell>
          <cell r="BY14">
            <v>0</v>
          </cell>
        </row>
        <row r="14">
          <cell r="CA14">
            <v>1</v>
          </cell>
          <cell r="CB14" t="str">
            <v>Excess</v>
          </cell>
        </row>
        <row r="14">
          <cell r="CJ14">
            <v>46182</v>
          </cell>
          <cell r="CK14">
            <v>37</v>
          </cell>
          <cell r="CL14">
            <v>0</v>
          </cell>
          <cell r="CM14">
            <v>0</v>
          </cell>
          <cell r="CN14">
            <v>0</v>
          </cell>
        </row>
        <row r="15">
          <cell r="A15" t="str">
            <v>X0050AYV6F</v>
          </cell>
          <cell r="B15" t="str">
            <v>Amazon US</v>
          </cell>
          <cell r="C15" t="str">
            <v>US 3DMakerpro Tripod</v>
          </cell>
          <cell r="D15" t="str">
            <v>X0050AYV6F</v>
          </cell>
          <cell r="E15" t="str">
            <v>B0GMYLTDK7</v>
          </cell>
          <cell r="F15" t="str">
            <v>3DMakerpro Tripod for 3D Scanner Moose and Seal Series</v>
          </cell>
          <cell r="G15" t="str">
            <v>New</v>
          </cell>
          <cell r="H15">
            <v>37</v>
          </cell>
          <cell r="I15">
            <v>0</v>
          </cell>
          <cell r="J15">
            <v>39</v>
          </cell>
          <cell r="K15">
            <v>0</v>
          </cell>
          <cell r="L15">
            <v>0</v>
          </cell>
          <cell r="M15">
            <v>0</v>
          </cell>
          <cell r="N15">
            <v>0</v>
          </cell>
          <cell r="O15">
            <v>0</v>
          </cell>
          <cell r="P15" t="str">
            <v>USD</v>
          </cell>
          <cell r="Q15">
            <v>3</v>
          </cell>
          <cell r="R15">
            <v>10</v>
          </cell>
          <cell r="S15">
            <v>21</v>
          </cell>
          <cell r="T15">
            <v>21</v>
          </cell>
          <cell r="U15" t="str">
            <v>Low traffic</v>
          </cell>
          <cell r="V15">
            <v>39</v>
          </cell>
          <cell r="W15">
            <v>0</v>
          </cell>
          <cell r="X15">
            <v>39</v>
          </cell>
          <cell r="Y15">
            <v>0</v>
          </cell>
          <cell r="Z15" t="str">
            <v>Advertise listing</v>
          </cell>
        </row>
        <row r="15">
          <cell r="AB15">
            <v>0</v>
          </cell>
          <cell r="AC15">
            <v>0</v>
          </cell>
          <cell r="AD15">
            <v>0</v>
          </cell>
          <cell r="AE15">
            <v>0</v>
          </cell>
          <cell r="AF15">
            <v>0.4</v>
          </cell>
          <cell r="AG15">
            <v>0.001157</v>
          </cell>
          <cell r="AH15" t="str">
            <v>cubic feet</v>
          </cell>
          <cell r="AI15" t="str">
            <v>Standard</v>
          </cell>
          <cell r="AJ15">
            <v>0.042809</v>
          </cell>
          <cell r="AK15" t="str">
            <v>US</v>
          </cell>
          <cell r="AL15" t="str">
            <v>gl_biss</v>
          </cell>
        </row>
        <row r="15">
          <cell r="AN15">
            <v>140</v>
          </cell>
          <cell r="AO15">
            <v>0</v>
          </cell>
          <cell r="AP15">
            <v>34</v>
          </cell>
          <cell r="AQ15">
            <v>53</v>
          </cell>
          <cell r="AR15">
            <v>39</v>
          </cell>
          <cell r="AS15">
            <v>115.05</v>
          </cell>
          <cell r="AT15">
            <v>388.05</v>
          </cell>
          <cell r="AU15">
            <v>815.1</v>
          </cell>
          <cell r="AV15">
            <v>815.1</v>
          </cell>
          <cell r="AW15">
            <v>0</v>
          </cell>
          <cell r="AX15">
            <v>0</v>
          </cell>
          <cell r="AY15">
            <v>39</v>
          </cell>
          <cell r="AZ15">
            <v>0</v>
          </cell>
          <cell r="BA15">
            <v>0</v>
          </cell>
          <cell r="BB15">
            <v>0.03</v>
          </cell>
          <cell r="BC15">
            <v>50</v>
          </cell>
          <cell r="BD15">
            <v>0</v>
          </cell>
          <cell r="BE15">
            <v>50</v>
          </cell>
          <cell r="BF15">
            <v>0</v>
          </cell>
        </row>
        <row r="15">
          <cell r="BH15">
            <v>1</v>
          </cell>
          <cell r="BI15">
            <v>0</v>
          </cell>
        </row>
        <row r="15">
          <cell r="BZ15">
            <v>171.1</v>
          </cell>
          <cell r="CA15">
            <v>39</v>
          </cell>
          <cell r="CB15" t="str">
            <v>Low stock</v>
          </cell>
        </row>
        <row r="15">
          <cell r="CE15">
            <v>46181</v>
          </cell>
          <cell r="CF15" t="str">
            <v>Yes</v>
          </cell>
          <cell r="CG15" t="str">
            <v>No</v>
          </cell>
          <cell r="CH15">
            <v>171.1</v>
          </cell>
          <cell r="CI15">
            <v>154.7</v>
          </cell>
          <cell r="CJ15">
            <v>46182</v>
          </cell>
          <cell r="CK15">
            <v>88</v>
          </cell>
          <cell r="CL15">
            <v>1</v>
          </cell>
          <cell r="CM15">
            <v>1</v>
          </cell>
          <cell r="CN15">
            <v>0</v>
          </cell>
        </row>
        <row r="16">
          <cell r="A16" t="str">
            <v>X004E3GOZZ</v>
          </cell>
          <cell r="B16" t="str">
            <v>Amazon US</v>
          </cell>
          <cell r="C16" t="str">
            <v>US Moose Standard Kit</v>
          </cell>
          <cell r="D16" t="str">
            <v>X004E3GOZZ</v>
          </cell>
          <cell r="E16" t="str">
            <v>B0DGPBTLSS</v>
          </cell>
          <cell r="F16" t="str">
            <v>3DMakerpro 3D Scanner for 3D Printing, Handheld 3D Model Scanner Moose with 0.03mm High Detailed Precision, 24-bit Color Camera, Anti-Shake Lenses, Compatible with Windows/MacOS, Standard</v>
          </cell>
          <cell r="G16" t="str">
            <v>New</v>
          </cell>
          <cell r="H16">
            <v>7</v>
          </cell>
          <cell r="I16">
            <v>0</v>
          </cell>
          <cell r="J16">
            <v>0</v>
          </cell>
          <cell r="K16">
            <v>0</v>
          </cell>
          <cell r="L16">
            <v>7</v>
          </cell>
          <cell r="M16">
            <v>0</v>
          </cell>
          <cell r="N16">
            <v>0</v>
          </cell>
          <cell r="O16">
            <v>0</v>
          </cell>
          <cell r="P16" t="str">
            <v>USD</v>
          </cell>
          <cell r="Q16">
            <v>0</v>
          </cell>
          <cell r="R16">
            <v>0</v>
          </cell>
          <cell r="S16">
            <v>0</v>
          </cell>
          <cell r="T16">
            <v>1</v>
          </cell>
          <cell r="U16" t="str">
            <v>Low traffic</v>
          </cell>
          <cell r="V16">
            <v>699</v>
          </cell>
          <cell r="W16">
            <v>0</v>
          </cell>
          <cell r="X16">
            <v>699</v>
          </cell>
          <cell r="Y16">
            <v>0</v>
          </cell>
          <cell r="Z16" t="str">
            <v>NoRestockExcessActionRequired</v>
          </cell>
        </row>
        <row r="16">
          <cell r="AB16">
            <v>0</v>
          </cell>
          <cell r="AC16">
            <v>0</v>
          </cell>
          <cell r="AD16">
            <v>0</v>
          </cell>
          <cell r="AE16">
            <v>3125.59</v>
          </cell>
          <cell r="AF16">
            <v>0.68</v>
          </cell>
          <cell r="AG16">
            <v>0.061854</v>
          </cell>
          <cell r="AH16" t="str">
            <v>cubic feet</v>
          </cell>
          <cell r="AI16" t="str">
            <v>Standard</v>
          </cell>
          <cell r="AJ16">
            <v>0.432978</v>
          </cell>
          <cell r="AK16" t="str">
            <v>US</v>
          </cell>
          <cell r="AL16" t="str">
            <v>gl_biss</v>
          </cell>
          <cell r="AM16">
            <v>499562</v>
          </cell>
          <cell r="AN16">
            <v>115</v>
          </cell>
          <cell r="AO16">
            <v>7</v>
          </cell>
        </row>
        <row r="16">
          <cell r="AQ16">
            <v>91</v>
          </cell>
          <cell r="AR16">
            <v>699</v>
          </cell>
          <cell r="AS16">
            <v>0</v>
          </cell>
          <cell r="AT16">
            <v>0</v>
          </cell>
          <cell r="AU16">
            <v>0</v>
          </cell>
          <cell r="AV16">
            <v>680.76</v>
          </cell>
          <cell r="AW16">
            <v>0</v>
          </cell>
          <cell r="AX16">
            <v>0</v>
          </cell>
          <cell r="AY16">
            <v>0</v>
          </cell>
          <cell r="AZ16">
            <v>7</v>
          </cell>
          <cell r="BA16">
            <v>0</v>
          </cell>
          <cell r="BB16">
            <v>0.74</v>
          </cell>
          <cell r="BC16">
            <v>0</v>
          </cell>
          <cell r="BD16">
            <v>0</v>
          </cell>
          <cell r="BE16">
            <v>0</v>
          </cell>
          <cell r="BF16">
            <v>0</v>
          </cell>
        </row>
        <row r="16">
          <cell r="BH16">
            <v>0</v>
          </cell>
          <cell r="BI16">
            <v>0</v>
          </cell>
          <cell r="BJ16">
            <v>0</v>
          </cell>
          <cell r="BK16">
            <v>0</v>
          </cell>
          <cell r="BL16">
            <v>7</v>
          </cell>
          <cell r="BM16">
            <v>0.43</v>
          </cell>
          <cell r="BN16">
            <v>0</v>
          </cell>
          <cell r="BO16">
            <v>0</v>
          </cell>
          <cell r="BP16">
            <v>0</v>
          </cell>
          <cell r="BQ16">
            <v>0</v>
          </cell>
          <cell r="BR16">
            <v>0</v>
          </cell>
          <cell r="BS16">
            <v>0</v>
          </cell>
          <cell r="BT16">
            <v>0</v>
          </cell>
          <cell r="BU16">
            <v>0</v>
          </cell>
          <cell r="BV16">
            <v>0</v>
          </cell>
          <cell r="BW16">
            <v>0</v>
          </cell>
          <cell r="BX16">
            <v>0</v>
          </cell>
          <cell r="BY16">
            <v>0</v>
          </cell>
        </row>
        <row r="16">
          <cell r="CA16">
            <v>1</v>
          </cell>
          <cell r="CB16" t="str">
            <v>Excess</v>
          </cell>
        </row>
        <row r="16">
          <cell r="CI16">
            <v>635</v>
          </cell>
          <cell r="CJ16">
            <v>46182</v>
          </cell>
          <cell r="CK16">
            <v>7</v>
          </cell>
          <cell r="CL16">
            <v>0</v>
          </cell>
          <cell r="CM16">
            <v>0</v>
          </cell>
          <cell r="CN16">
            <v>0</v>
          </cell>
        </row>
        <row r="17">
          <cell r="A17" t="str">
            <v>X0050Q7ENL</v>
          </cell>
          <cell r="B17" t="str">
            <v>Amazon US</v>
          </cell>
          <cell r="C17" t="str">
            <v>US Toucan Standard</v>
          </cell>
          <cell r="D17" t="str">
            <v>X0050Q7ENL</v>
          </cell>
          <cell r="E17" t="str">
            <v>B0GQLB9M1J</v>
          </cell>
          <cell r="F17" t="str">
            <v>3DMakerpro Toucan 3D Scanner for 3D Printer Handheld All-in-one 3D Printing Scanner, Up to 1000×750 mm FOV, High-Power MEMS Optics with 0.03 mm Accuracy-Standard Version</v>
          </cell>
          <cell r="G17" t="str">
            <v>New</v>
          </cell>
          <cell r="H17">
            <v>9</v>
          </cell>
          <cell r="I17">
            <v>0</v>
          </cell>
          <cell r="J17">
            <v>9</v>
          </cell>
          <cell r="K17">
            <v>0</v>
          </cell>
          <cell r="L17">
            <v>0</v>
          </cell>
          <cell r="M17">
            <v>0</v>
          </cell>
          <cell r="N17">
            <v>0</v>
          </cell>
          <cell r="O17">
            <v>0</v>
          </cell>
          <cell r="P17" t="str">
            <v>USD</v>
          </cell>
        </row>
        <row r="17">
          <cell r="U17" t="str">
            <v>Low traffic</v>
          </cell>
          <cell r="V17">
            <v>1999</v>
          </cell>
          <cell r="W17">
            <v>0</v>
          </cell>
          <cell r="X17">
            <v>1999</v>
          </cell>
          <cell r="Y17">
            <v>0</v>
          </cell>
          <cell r="Z17" t="str">
            <v>Advertise listing</v>
          </cell>
        </row>
        <row r="17">
          <cell r="AB17">
            <v>1899.05</v>
          </cell>
          <cell r="AC17">
            <v>9</v>
          </cell>
          <cell r="AD17">
            <v>0</v>
          </cell>
          <cell r="AE17">
            <v>1752.43</v>
          </cell>
          <cell r="AF17">
            <v>0</v>
          </cell>
          <cell r="AG17">
            <v>0.230695</v>
          </cell>
          <cell r="AH17" t="str">
            <v>cubic feet</v>
          </cell>
          <cell r="AI17" t="str">
            <v>Standard</v>
          </cell>
          <cell r="AJ17">
            <v>2.076255</v>
          </cell>
          <cell r="AK17" t="str">
            <v>US</v>
          </cell>
          <cell r="AL17" t="str">
            <v>gl_biss</v>
          </cell>
        </row>
        <row r="17">
          <cell r="AN17">
            <v>41</v>
          </cell>
          <cell r="AO17">
            <v>0</v>
          </cell>
        </row>
        <row r="17">
          <cell r="AR17">
            <v>1999</v>
          </cell>
        </row>
        <row r="17">
          <cell r="AW17">
            <v>0</v>
          </cell>
          <cell r="AX17">
            <v>9</v>
          </cell>
          <cell r="AY17">
            <v>0</v>
          </cell>
          <cell r="AZ17">
            <v>0</v>
          </cell>
          <cell r="BA17">
            <v>0</v>
          </cell>
          <cell r="BB17">
            <v>0.01</v>
          </cell>
          <cell r="BC17">
            <v>0</v>
          </cell>
          <cell r="BD17">
            <v>0</v>
          </cell>
          <cell r="BE17">
            <v>0</v>
          </cell>
          <cell r="BF17">
            <v>0</v>
          </cell>
        </row>
        <row r="17">
          <cell r="BH17">
            <v>0</v>
          </cell>
          <cell r="BI17">
            <v>0</v>
          </cell>
        </row>
        <row r="17">
          <cell r="CC17">
            <v>5</v>
          </cell>
          <cell r="CD17">
            <v>46189</v>
          </cell>
        </row>
        <row r="17">
          <cell r="CJ17">
            <v>46182</v>
          </cell>
          <cell r="CK17">
            <v>9</v>
          </cell>
          <cell r="CL17">
            <v>0</v>
          </cell>
          <cell r="CM17">
            <v>0</v>
          </cell>
          <cell r="CN17">
            <v>0</v>
          </cell>
        </row>
        <row r="18">
          <cell r="A18" t="str">
            <v>X0047UDHF5</v>
          </cell>
          <cell r="B18" t="str">
            <v>Amazon US</v>
          </cell>
          <cell r="C18" t="str">
            <v>US Turntable for Moose Series</v>
          </cell>
          <cell r="D18" t="str">
            <v>X0047UDHF5</v>
          </cell>
          <cell r="E18" t="str">
            <v>B0D2N9RJDQ</v>
          </cell>
          <cell r="F18" t="str">
            <v>3DMakerpro Turntable for 3D Scanner Seal Seal Liite &amp; Moose Moose Lite</v>
          </cell>
          <cell r="G18" t="str">
            <v>New</v>
          </cell>
          <cell r="H18">
            <v>67</v>
          </cell>
          <cell r="I18">
            <v>0</v>
          </cell>
          <cell r="J18">
            <v>5</v>
          </cell>
          <cell r="K18">
            <v>64</v>
          </cell>
          <cell r="L18">
            <v>0</v>
          </cell>
          <cell r="M18">
            <v>0</v>
          </cell>
          <cell r="N18">
            <v>0</v>
          </cell>
          <cell r="O18">
            <v>0</v>
          </cell>
          <cell r="P18" t="str">
            <v>USD</v>
          </cell>
          <cell r="Q18">
            <v>6</v>
          </cell>
          <cell r="R18">
            <v>23</v>
          </cell>
          <cell r="S18">
            <v>31</v>
          </cell>
          <cell r="T18">
            <v>57</v>
          </cell>
          <cell r="U18" t="str">
            <v>Low traffic</v>
          </cell>
          <cell r="V18">
            <v>29</v>
          </cell>
          <cell r="W18">
            <v>0</v>
          </cell>
          <cell r="X18">
            <v>29</v>
          </cell>
          <cell r="Y18">
            <v>0</v>
          </cell>
          <cell r="Z18" t="str">
            <v>NoRestockExcessActionRequired</v>
          </cell>
        </row>
        <row r="18">
          <cell r="AB18">
            <v>0</v>
          </cell>
          <cell r="AC18">
            <v>0</v>
          </cell>
          <cell r="AD18">
            <v>0</v>
          </cell>
          <cell r="AE18">
            <v>0</v>
          </cell>
          <cell r="AF18">
            <v>0.57</v>
          </cell>
          <cell r="AG18">
            <v>0.172398</v>
          </cell>
          <cell r="AH18" t="str">
            <v>cubic feet</v>
          </cell>
          <cell r="AI18" t="str">
            <v>Standard</v>
          </cell>
          <cell r="AJ18">
            <v>11.550666</v>
          </cell>
          <cell r="AK18" t="str">
            <v>US</v>
          </cell>
          <cell r="AL18" t="str">
            <v>gl_biss</v>
          </cell>
          <cell r="AM18">
            <v>123020</v>
          </cell>
          <cell r="AN18">
            <v>113</v>
          </cell>
          <cell r="AO18">
            <v>0</v>
          </cell>
          <cell r="AP18">
            <v>11</v>
          </cell>
          <cell r="AQ18">
            <v>15</v>
          </cell>
          <cell r="AR18">
            <v>29</v>
          </cell>
          <cell r="AS18">
            <v>174</v>
          </cell>
          <cell r="AT18">
            <v>667</v>
          </cell>
          <cell r="AU18">
            <v>899</v>
          </cell>
          <cell r="AV18">
            <v>1650.79</v>
          </cell>
          <cell r="AW18">
            <v>3</v>
          </cell>
          <cell r="AX18">
            <v>1</v>
          </cell>
          <cell r="AY18">
            <v>1</v>
          </cell>
          <cell r="AZ18">
            <v>0</v>
          </cell>
          <cell r="BA18">
            <v>0</v>
          </cell>
          <cell r="BB18">
            <v>7.61</v>
          </cell>
          <cell r="BC18">
            <v>0</v>
          </cell>
          <cell r="BD18">
            <v>0</v>
          </cell>
          <cell r="BE18">
            <v>0</v>
          </cell>
          <cell r="BF18">
            <v>0</v>
          </cell>
        </row>
        <row r="18">
          <cell r="BH18">
            <v>0</v>
          </cell>
          <cell r="BI18">
            <v>0</v>
          </cell>
        </row>
        <row r="18">
          <cell r="BZ18">
            <v>151</v>
          </cell>
          <cell r="CA18">
            <v>32</v>
          </cell>
          <cell r="CB18" t="str">
            <v>Healthy</v>
          </cell>
        </row>
        <row r="18">
          <cell r="CE18">
            <v>46181</v>
          </cell>
          <cell r="CF18" t="str">
            <v>Yes</v>
          </cell>
          <cell r="CG18" t="str">
            <v>No</v>
          </cell>
          <cell r="CH18">
            <v>138.3</v>
          </cell>
          <cell r="CI18">
            <v>151</v>
          </cell>
          <cell r="CJ18">
            <v>46182</v>
          </cell>
          <cell r="CK18">
            <v>67</v>
          </cell>
          <cell r="CL18">
            <v>0</v>
          </cell>
          <cell r="CM18">
            <v>0</v>
          </cell>
          <cell r="CN18">
            <v>0</v>
          </cell>
        </row>
        <row r="19">
          <cell r="A19" t="str">
            <v>X0050S6RYL</v>
          </cell>
          <cell r="B19" t="str">
            <v>Amazon US</v>
          </cell>
          <cell r="C19" t="str">
            <v>US Seal Lite Basic Package</v>
          </cell>
          <cell r="D19" t="str">
            <v>X0050S6RYL</v>
          </cell>
          <cell r="E19" t="str">
            <v>B0GQT5WHZ1</v>
          </cell>
          <cell r="F19" t="str">
            <v>3DMakerpro Handheld 3D Scanner for 3D Printer, 0.02mm High Detailed Precision, 10FPS Scanning Lightning with Anti-Shake Lenses, Portable 3D Scanner for Win10/MacOS -Seal Lite Standard Version</v>
          </cell>
          <cell r="G19" t="str">
            <v>New</v>
          </cell>
          <cell r="H19">
            <v>9</v>
          </cell>
          <cell r="I19">
            <v>0</v>
          </cell>
          <cell r="J19">
            <v>16</v>
          </cell>
          <cell r="K19">
            <v>0</v>
          </cell>
          <cell r="L19">
            <v>0</v>
          </cell>
          <cell r="M19">
            <v>0</v>
          </cell>
          <cell r="N19">
            <v>0</v>
          </cell>
          <cell r="O19">
            <v>0</v>
          </cell>
          <cell r="P19" t="str">
            <v>USD</v>
          </cell>
          <cell r="Q19">
            <v>2</v>
          </cell>
          <cell r="R19">
            <v>9</v>
          </cell>
          <cell r="S19">
            <v>17</v>
          </cell>
          <cell r="T19">
            <v>17</v>
          </cell>
        </row>
        <row r="19">
          <cell r="V19">
            <v>359</v>
          </cell>
          <cell r="W19">
            <v>0</v>
          </cell>
          <cell r="X19">
            <v>359</v>
          </cell>
          <cell r="Y19">
            <v>341.05</v>
          </cell>
          <cell r="Z19" t="str">
            <v>CreateShippingPlan</v>
          </cell>
        </row>
        <row r="19">
          <cell r="AB19">
            <v>0</v>
          </cell>
          <cell r="AC19">
            <v>0</v>
          </cell>
          <cell r="AD19">
            <v>0</v>
          </cell>
          <cell r="AE19">
            <v>0</v>
          </cell>
          <cell r="AF19">
            <v>0.7</v>
          </cell>
          <cell r="AG19">
            <v>0.001157</v>
          </cell>
          <cell r="AH19" t="str">
            <v>cubic feet</v>
          </cell>
          <cell r="AI19" t="str">
            <v>Standard</v>
          </cell>
          <cell r="AJ19">
            <v>0.010413</v>
          </cell>
          <cell r="AK19" t="str">
            <v>US</v>
          </cell>
          <cell r="AL19" t="str">
            <v>gl_biss</v>
          </cell>
          <cell r="AM19">
            <v>148204</v>
          </cell>
          <cell r="AN19">
            <v>21</v>
          </cell>
          <cell r="AO19">
            <v>0</v>
          </cell>
          <cell r="AP19">
            <v>4</v>
          </cell>
          <cell r="AQ19">
            <v>6</v>
          </cell>
          <cell r="AR19">
            <v>359</v>
          </cell>
          <cell r="AS19">
            <v>718</v>
          </cell>
          <cell r="AT19">
            <v>3213.05</v>
          </cell>
          <cell r="AU19">
            <v>6067.1</v>
          </cell>
          <cell r="AV19">
            <v>6067.1</v>
          </cell>
          <cell r="AW19">
            <v>2</v>
          </cell>
          <cell r="AX19">
            <v>0</v>
          </cell>
          <cell r="AY19">
            <v>14</v>
          </cell>
          <cell r="AZ19">
            <v>0</v>
          </cell>
          <cell r="BA19">
            <v>0</v>
          </cell>
          <cell r="BB19">
            <v>0.01</v>
          </cell>
          <cell r="BC19">
            <v>0</v>
          </cell>
          <cell r="BD19">
            <v>0</v>
          </cell>
          <cell r="BE19">
            <v>0</v>
          </cell>
          <cell r="BF19">
            <v>0</v>
          </cell>
        </row>
        <row r="19">
          <cell r="BH19">
            <v>2</v>
          </cell>
          <cell r="BI19">
            <v>0</v>
          </cell>
        </row>
        <row r="19">
          <cell r="BZ19">
            <v>91.6</v>
          </cell>
          <cell r="CA19">
            <v>29</v>
          </cell>
          <cell r="CB19" t="str">
            <v>Low stock</v>
          </cell>
          <cell r="CC19">
            <v>37</v>
          </cell>
          <cell r="CD19">
            <v>46191</v>
          </cell>
          <cell r="CE19">
            <v>46181</v>
          </cell>
          <cell r="CF19" t="str">
            <v>Yes</v>
          </cell>
          <cell r="CG19" t="str">
            <v>No</v>
          </cell>
          <cell r="CH19">
            <v>72.8</v>
          </cell>
          <cell r="CI19">
            <v>91.6</v>
          </cell>
          <cell r="CJ19">
            <v>46182</v>
          </cell>
          <cell r="CK19">
            <v>13</v>
          </cell>
          <cell r="CL19">
            <v>4</v>
          </cell>
          <cell r="CM19">
            <v>1</v>
          </cell>
          <cell r="CN19">
            <v>1</v>
          </cell>
        </row>
        <row r="20">
          <cell r="A20" t="str">
            <v>X0042V1OEZ</v>
          </cell>
          <cell r="B20" t="str">
            <v>Amazon US</v>
          </cell>
          <cell r="C20" t="str">
            <v>US Mole Premium Version</v>
          </cell>
          <cell r="D20" t="str">
            <v>X0042V1OEZ</v>
          </cell>
          <cell r="E20" t="str">
            <v>B0CQRJP3TW</v>
          </cell>
          <cell r="F20" t="str">
            <v>3DMakerpro Mole Handheld 3D Scanner for 3D Printer, 0.05mm Accuracy &amp; 0.1mm Resolution, 10FPS Scanning Lightning-Fast Speed with Anti-Shake Lenses, Portable 3D Scanners for Win10/MacOS</v>
          </cell>
          <cell r="G20" t="str">
            <v>New</v>
          </cell>
          <cell r="H20">
            <v>3</v>
          </cell>
          <cell r="I20">
            <v>0</v>
          </cell>
          <cell r="J20">
            <v>3</v>
          </cell>
          <cell r="K20">
            <v>0</v>
          </cell>
          <cell r="L20">
            <v>0</v>
          </cell>
          <cell r="M20">
            <v>0</v>
          </cell>
          <cell r="N20">
            <v>0</v>
          </cell>
          <cell r="O20">
            <v>0</v>
          </cell>
          <cell r="P20" t="str">
            <v>USD</v>
          </cell>
          <cell r="Q20">
            <v>0</v>
          </cell>
          <cell r="R20">
            <v>0</v>
          </cell>
          <cell r="S20">
            <v>2</v>
          </cell>
          <cell r="T20">
            <v>2</v>
          </cell>
          <cell r="U20" t="str">
            <v>Low traffic</v>
          </cell>
          <cell r="V20">
            <v>749</v>
          </cell>
          <cell r="W20">
            <v>749</v>
          </cell>
          <cell r="X20">
            <v>749</v>
          </cell>
          <cell r="Y20">
            <v>375</v>
          </cell>
          <cell r="Z20" t="str">
            <v>NoRestockExcessActionRequired</v>
          </cell>
        </row>
        <row r="20">
          <cell r="AB20">
            <v>0</v>
          </cell>
          <cell r="AC20">
            <v>0</v>
          </cell>
          <cell r="AD20">
            <v>0</v>
          </cell>
          <cell r="AE20">
            <v>1839.1</v>
          </cell>
          <cell r="AF20">
            <v>0.08</v>
          </cell>
          <cell r="AG20">
            <v>0.416462</v>
          </cell>
          <cell r="AH20" t="str">
            <v>cubic feet</v>
          </cell>
          <cell r="AI20" t="str">
            <v>Standard</v>
          </cell>
          <cell r="AJ20">
            <v>1.249386</v>
          </cell>
          <cell r="AK20" t="str">
            <v>US</v>
          </cell>
          <cell r="AL20" t="str">
            <v>gl_biss</v>
          </cell>
          <cell r="AM20">
            <v>663310</v>
          </cell>
          <cell r="AN20">
            <v>67</v>
          </cell>
          <cell r="AO20">
            <v>0</v>
          </cell>
        </row>
        <row r="20">
          <cell r="AQ20">
            <v>19</v>
          </cell>
          <cell r="AR20">
            <v>749</v>
          </cell>
          <cell r="AS20">
            <v>0</v>
          </cell>
          <cell r="AT20">
            <v>0</v>
          </cell>
          <cell r="AU20">
            <v>1498</v>
          </cell>
          <cell r="AV20">
            <v>1498</v>
          </cell>
          <cell r="AW20">
            <v>0</v>
          </cell>
          <cell r="AX20">
            <v>0</v>
          </cell>
          <cell r="AY20">
            <v>3</v>
          </cell>
          <cell r="AZ20">
            <v>0</v>
          </cell>
          <cell r="BA20">
            <v>0</v>
          </cell>
          <cell r="BB20">
            <v>0.89</v>
          </cell>
          <cell r="BC20">
            <v>0</v>
          </cell>
          <cell r="BD20">
            <v>0</v>
          </cell>
          <cell r="BE20">
            <v>0</v>
          </cell>
          <cell r="BF20">
            <v>0</v>
          </cell>
        </row>
        <row r="20">
          <cell r="BH20">
            <v>0</v>
          </cell>
          <cell r="BI20">
            <v>0</v>
          </cell>
        </row>
        <row r="20">
          <cell r="BZ20">
            <v>164</v>
          </cell>
          <cell r="CA20">
            <v>2</v>
          </cell>
          <cell r="CB20" t="str">
            <v>Healthy</v>
          </cell>
          <cell r="CC20">
            <v>1</v>
          </cell>
          <cell r="CD20">
            <v>46186</v>
          </cell>
          <cell r="CE20">
            <v>46181</v>
          </cell>
          <cell r="CF20" t="str">
            <v>Yes</v>
          </cell>
          <cell r="CG20" t="str">
            <v>No</v>
          </cell>
          <cell r="CH20">
            <v>91</v>
          </cell>
          <cell r="CI20">
            <v>164</v>
          </cell>
          <cell r="CJ20">
            <v>46182</v>
          </cell>
          <cell r="CK20">
            <v>3</v>
          </cell>
          <cell r="CL20">
            <v>0</v>
          </cell>
          <cell r="CM20">
            <v>0</v>
          </cell>
          <cell r="CN20">
            <v>0</v>
          </cell>
        </row>
        <row r="21">
          <cell r="A21" t="str">
            <v>X004T6OTXL</v>
          </cell>
          <cell r="B21" t="str">
            <v>Amazon US</v>
          </cell>
          <cell r="C21" t="str">
            <v>US Moose Lite Advanced</v>
          </cell>
          <cell r="D21" t="str">
            <v>X004T6OTXL</v>
          </cell>
          <cell r="E21" t="str">
            <v>B0FN7WWBJ9</v>
          </cell>
          <cell r="F21" t="str">
            <v>3DMakerpro 3D Scanner for 3D Printing, Handheld 3D Printer Scanner 0.05mm Precision (Moose lite)</v>
          </cell>
          <cell r="G21" t="str">
            <v>New</v>
          </cell>
          <cell r="H21">
            <v>54</v>
          </cell>
          <cell r="I21">
            <v>0</v>
          </cell>
          <cell r="J21">
            <v>5</v>
          </cell>
          <cell r="K21">
            <v>54</v>
          </cell>
          <cell r="L21">
            <v>0</v>
          </cell>
          <cell r="M21">
            <v>0</v>
          </cell>
          <cell r="N21">
            <v>0</v>
          </cell>
          <cell r="O21">
            <v>0</v>
          </cell>
          <cell r="P21" t="str">
            <v>USD</v>
          </cell>
          <cell r="Q21">
            <v>1</v>
          </cell>
          <cell r="R21">
            <v>3</v>
          </cell>
          <cell r="S21">
            <v>17</v>
          </cell>
          <cell r="T21">
            <v>36</v>
          </cell>
          <cell r="U21" t="str">
            <v>Low traffic</v>
          </cell>
          <cell r="V21">
            <v>459</v>
          </cell>
          <cell r="W21">
            <v>0</v>
          </cell>
          <cell r="X21">
            <v>459</v>
          </cell>
          <cell r="Y21">
            <v>0</v>
          </cell>
          <cell r="Z21" t="str">
            <v>NoRestockExcessActionRequired</v>
          </cell>
        </row>
        <row r="21">
          <cell r="AB21">
            <v>0</v>
          </cell>
          <cell r="AC21">
            <v>0</v>
          </cell>
          <cell r="AD21">
            <v>0</v>
          </cell>
          <cell r="AE21">
            <v>0</v>
          </cell>
          <cell r="AF21">
            <v>0.23</v>
          </cell>
          <cell r="AG21">
            <v>0.240215</v>
          </cell>
          <cell r="AH21" t="str">
            <v>cubic feet</v>
          </cell>
          <cell r="AI21" t="str">
            <v>Standard</v>
          </cell>
          <cell r="AJ21">
            <v>12.97161</v>
          </cell>
          <cell r="AK21" t="str">
            <v>US</v>
          </cell>
          <cell r="AL21" t="str">
            <v>gl_biss</v>
          </cell>
          <cell r="AM21">
            <v>173650</v>
          </cell>
          <cell r="AN21">
            <v>137</v>
          </cell>
          <cell r="AO21">
            <v>0</v>
          </cell>
          <cell r="AP21">
            <v>72</v>
          </cell>
          <cell r="AQ21">
            <v>19</v>
          </cell>
          <cell r="AR21">
            <v>459</v>
          </cell>
          <cell r="AS21">
            <v>459</v>
          </cell>
          <cell r="AT21">
            <v>1377</v>
          </cell>
          <cell r="AU21">
            <v>7734.12</v>
          </cell>
          <cell r="AV21">
            <v>16455.12</v>
          </cell>
          <cell r="AW21">
            <v>1</v>
          </cell>
          <cell r="AX21">
            <v>4</v>
          </cell>
          <cell r="AY21">
            <v>0</v>
          </cell>
          <cell r="AZ21">
            <v>0</v>
          </cell>
          <cell r="BA21">
            <v>0</v>
          </cell>
          <cell r="BB21">
            <v>9.52</v>
          </cell>
          <cell r="BC21">
            <v>0</v>
          </cell>
          <cell r="BD21">
            <v>0</v>
          </cell>
          <cell r="BE21">
            <v>0</v>
          </cell>
          <cell r="BF21">
            <v>0</v>
          </cell>
        </row>
        <row r="21">
          <cell r="BH21">
            <v>3</v>
          </cell>
          <cell r="BI21">
            <v>0</v>
          </cell>
        </row>
        <row r="21">
          <cell r="BZ21">
            <v>814.8</v>
          </cell>
          <cell r="CA21">
            <v>19</v>
          </cell>
          <cell r="CB21" t="str">
            <v>Healthy</v>
          </cell>
        </row>
        <row r="21">
          <cell r="CE21">
            <v>46181</v>
          </cell>
          <cell r="CF21" t="str">
            <v>Yes</v>
          </cell>
          <cell r="CG21" t="str">
            <v>No</v>
          </cell>
          <cell r="CH21">
            <v>814.8</v>
          </cell>
          <cell r="CI21">
            <v>400.3</v>
          </cell>
          <cell r="CJ21">
            <v>46182</v>
          </cell>
          <cell r="CK21">
            <v>60</v>
          </cell>
          <cell r="CL21">
            <v>6</v>
          </cell>
          <cell r="CM21">
            <v>3</v>
          </cell>
          <cell r="CN21">
            <v>0</v>
          </cell>
        </row>
        <row r="22">
          <cell r="A22" t="str">
            <v>X0047Q8XRB</v>
          </cell>
          <cell r="B22" t="str">
            <v>Amazon US</v>
          </cell>
          <cell r="C22" t="str">
            <v>US Smart Grip</v>
          </cell>
          <cell r="D22" t="str">
            <v>X0047Q8XRB</v>
          </cell>
          <cell r="E22" t="str">
            <v>B0D2H8ZCMH</v>
          </cell>
          <cell r="F22" t="str">
            <v>3DMakerpro Portable Smart Grip for Moose Series 3D Scanner</v>
          </cell>
          <cell r="G22" t="str">
            <v>New</v>
          </cell>
          <cell r="H22">
            <v>4</v>
          </cell>
          <cell r="I22">
            <v>0</v>
          </cell>
          <cell r="J22">
            <v>1</v>
          </cell>
          <cell r="K22">
            <v>3</v>
          </cell>
          <cell r="L22">
            <v>0</v>
          </cell>
          <cell r="M22">
            <v>0</v>
          </cell>
          <cell r="N22">
            <v>0</v>
          </cell>
          <cell r="O22">
            <v>0</v>
          </cell>
          <cell r="P22" t="str">
            <v>USD</v>
          </cell>
          <cell r="Q22">
            <v>1</v>
          </cell>
          <cell r="R22">
            <v>4</v>
          </cell>
          <cell r="S22">
            <v>8</v>
          </cell>
          <cell r="T22">
            <v>12</v>
          </cell>
          <cell r="U22" t="str">
            <v>Low traffic</v>
          </cell>
          <cell r="V22">
            <v>299</v>
          </cell>
          <cell r="W22">
            <v>0</v>
          </cell>
          <cell r="X22">
            <v>299</v>
          </cell>
          <cell r="Y22">
            <v>0</v>
          </cell>
          <cell r="Z22" t="str">
            <v>CreateShippingPlan</v>
          </cell>
        </row>
        <row r="22">
          <cell r="AB22">
            <v>0</v>
          </cell>
          <cell r="AC22">
            <v>0</v>
          </cell>
          <cell r="AD22">
            <v>0</v>
          </cell>
          <cell r="AE22">
            <v>0</v>
          </cell>
          <cell r="AF22">
            <v>1.2</v>
          </cell>
          <cell r="AG22">
            <v>0.109205</v>
          </cell>
          <cell r="AH22" t="str">
            <v>cubic feet</v>
          </cell>
          <cell r="AI22" t="str">
            <v>Standard</v>
          </cell>
          <cell r="AJ22">
            <v>0.43682</v>
          </cell>
          <cell r="AK22" t="str">
            <v>US</v>
          </cell>
          <cell r="AL22" t="str">
            <v>gl_tools</v>
          </cell>
          <cell r="AM22">
            <v>343105</v>
          </cell>
          <cell r="AN22">
            <v>19</v>
          </cell>
          <cell r="AO22">
            <v>0</v>
          </cell>
          <cell r="AP22">
            <v>4</v>
          </cell>
          <cell r="AQ22">
            <v>4</v>
          </cell>
          <cell r="AR22">
            <v>299</v>
          </cell>
          <cell r="AS22">
            <v>299</v>
          </cell>
          <cell r="AT22">
            <v>1196</v>
          </cell>
          <cell r="AU22">
            <v>2367.39</v>
          </cell>
          <cell r="AV22">
            <v>3533.49</v>
          </cell>
          <cell r="AW22">
            <v>0</v>
          </cell>
          <cell r="AX22">
            <v>0</v>
          </cell>
          <cell r="AY22">
            <v>1</v>
          </cell>
          <cell r="AZ22">
            <v>0</v>
          </cell>
          <cell r="BA22">
            <v>0</v>
          </cell>
          <cell r="BB22">
            <v>0.22</v>
          </cell>
          <cell r="BC22">
            <v>0</v>
          </cell>
          <cell r="BD22">
            <v>0</v>
          </cell>
          <cell r="BE22">
            <v>0</v>
          </cell>
          <cell r="BF22">
            <v>0</v>
          </cell>
        </row>
        <row r="22">
          <cell r="BH22">
            <v>0</v>
          </cell>
          <cell r="BI22">
            <v>0</v>
          </cell>
        </row>
        <row r="22">
          <cell r="BZ22">
            <v>66.9</v>
          </cell>
          <cell r="CA22">
            <v>10</v>
          </cell>
          <cell r="CB22" t="str">
            <v>Low stock</v>
          </cell>
          <cell r="CC22">
            <v>13</v>
          </cell>
          <cell r="CD22">
            <v>46186</v>
          </cell>
          <cell r="CE22">
            <v>46181</v>
          </cell>
          <cell r="CF22" t="str">
            <v>Yes</v>
          </cell>
          <cell r="CG22" t="str">
            <v>No</v>
          </cell>
          <cell r="CH22">
            <v>50.8</v>
          </cell>
          <cell r="CI22">
            <v>66.9</v>
          </cell>
          <cell r="CJ22">
            <v>46182</v>
          </cell>
          <cell r="CK22">
            <v>4</v>
          </cell>
          <cell r="CL22">
            <v>0</v>
          </cell>
          <cell r="CM22">
            <v>0</v>
          </cell>
          <cell r="CN22">
            <v>0</v>
          </cell>
        </row>
        <row r="23">
          <cell r="A23" t="str">
            <v>X004U8JQ3V</v>
          </cell>
          <cell r="B23" t="e">
            <v>#N/A</v>
          </cell>
          <cell r="C23" t="str">
            <v>US Seal Deluxe Edition</v>
          </cell>
          <cell r="D23" t="str">
            <v>X004U8JQ3V</v>
          </cell>
          <cell r="E23" t="str">
            <v>B0FR7V1GYC</v>
          </cell>
          <cell r="F23" t="str">
            <v>3DMakerpro 3D Scanner for 3D Printer with 0.01mm Accuracy, 24-bit Color Camera, 10FPS Scanning Speed, Anti-Shake Scan 3D Model Scanner for Android/iOS/Win10/MacOS-Seal Luxury</v>
          </cell>
        </row>
        <row r="23">
          <cell r="H23">
            <v>0</v>
          </cell>
          <cell r="I23">
            <v>0</v>
          </cell>
          <cell r="J23">
            <v>0</v>
          </cell>
          <cell r="K23">
            <v>4</v>
          </cell>
          <cell r="L23">
            <v>37</v>
          </cell>
          <cell r="M23">
            <v>0</v>
          </cell>
          <cell r="N23">
            <v>0</v>
          </cell>
          <cell r="O23">
            <v>0</v>
          </cell>
          <cell r="P23" t="str">
            <v>USD</v>
          </cell>
          <cell r="Q23">
            <v>0</v>
          </cell>
          <cell r="R23">
            <v>0</v>
          </cell>
          <cell r="S23">
            <v>0</v>
          </cell>
          <cell r="T23">
            <v>0</v>
          </cell>
        </row>
        <row r="23">
          <cell r="V23">
            <v>0</v>
          </cell>
          <cell r="W23">
            <v>0</v>
          </cell>
          <cell r="X23">
            <v>0</v>
          </cell>
          <cell r="Y23">
            <v>0</v>
          </cell>
          <cell r="Z23" t="str">
            <v>NoRestockExcessActionRequired</v>
          </cell>
        </row>
        <row r="23">
          <cell r="AC23">
            <v>0</v>
          </cell>
          <cell r="AD23">
            <v>0</v>
          </cell>
        </row>
        <row r="23">
          <cell r="AF23">
            <v>0</v>
          </cell>
          <cell r="AG23">
            <v>0.48877</v>
          </cell>
          <cell r="AH23" t="str">
            <v>cubic feet</v>
          </cell>
          <cell r="AI23" t="str">
            <v>Standard</v>
          </cell>
          <cell r="AJ23">
            <v>0</v>
          </cell>
          <cell r="AK23" t="str">
            <v>US</v>
          </cell>
          <cell r="AL23" t="str">
            <v>gl_biss</v>
          </cell>
          <cell r="AM23">
            <v>881766</v>
          </cell>
          <cell r="AN23">
            <v>0</v>
          </cell>
          <cell r="AO23">
            <v>0</v>
          </cell>
        </row>
        <row r="23">
          <cell r="AR23">
            <v>998</v>
          </cell>
          <cell r="AS23">
            <v>0</v>
          </cell>
          <cell r="AT23">
            <v>0</v>
          </cell>
          <cell r="AU23">
            <v>0</v>
          </cell>
          <cell r="AV23">
            <v>0</v>
          </cell>
          <cell r="AW23">
            <v>0</v>
          </cell>
          <cell r="AX23">
            <v>0</v>
          </cell>
          <cell r="AY23">
            <v>0</v>
          </cell>
          <cell r="AZ23">
            <v>37</v>
          </cell>
          <cell r="BA23">
            <v>0</v>
          </cell>
        </row>
        <row r="23">
          <cell r="BC23">
            <v>0</v>
          </cell>
          <cell r="BD23">
            <v>0</v>
          </cell>
          <cell r="BE23">
            <v>0</v>
          </cell>
          <cell r="BF23">
            <v>0</v>
          </cell>
        </row>
        <row r="23">
          <cell r="BH23">
            <v>41</v>
          </cell>
          <cell r="BI23">
            <v>0</v>
          </cell>
          <cell r="BJ23">
            <v>0</v>
          </cell>
          <cell r="BK23">
            <v>0</v>
          </cell>
          <cell r="BL23">
            <v>36</v>
          </cell>
          <cell r="BM23">
            <v>17.61</v>
          </cell>
          <cell r="BN23">
            <v>1</v>
          </cell>
          <cell r="BO23">
            <v>0.73</v>
          </cell>
          <cell r="BP23">
            <v>0</v>
          </cell>
          <cell r="BQ23">
            <v>0</v>
          </cell>
          <cell r="BR23">
            <v>0</v>
          </cell>
          <cell r="BS23">
            <v>0</v>
          </cell>
          <cell r="BT23">
            <v>0</v>
          </cell>
          <cell r="BU23">
            <v>0</v>
          </cell>
          <cell r="BV23">
            <v>0</v>
          </cell>
          <cell r="BW23">
            <v>0</v>
          </cell>
          <cell r="BX23">
            <v>0</v>
          </cell>
          <cell r="BY23">
            <v>0</v>
          </cell>
        </row>
        <row r="23">
          <cell r="CA23">
            <v>1</v>
          </cell>
          <cell r="CB23" t="str">
            <v>Out of stock</v>
          </cell>
        </row>
        <row r="23">
          <cell r="CJ23">
            <v>46182</v>
          </cell>
          <cell r="CK23">
            <v>0</v>
          </cell>
          <cell r="CL23">
            <v>0</v>
          </cell>
          <cell r="CM23">
            <v>0</v>
          </cell>
          <cell r="CN23">
            <v>0</v>
          </cell>
        </row>
        <row r="24">
          <cell r="A24" t="str">
            <v>X0051IMX57</v>
          </cell>
          <cell r="B24" t="e">
            <v>#N/A</v>
          </cell>
          <cell r="C24" t="str">
            <v>US Moose Advanced Kit</v>
          </cell>
          <cell r="D24" t="str">
            <v>X0051IMX57</v>
          </cell>
          <cell r="E24" t="str">
            <v>B0GT4R8G74</v>
          </cell>
          <cell r="F24" t="str">
            <v>3DMakerpro 3D Scanner for 3D Printing, Handheld 3D Model Scanners with 0.05mm High Detailed Precision, Intelligent Pre and Post Data Processing, Compatible with Windows/MacOS</v>
          </cell>
        </row>
        <row r="24">
          <cell r="H24">
            <v>0</v>
          </cell>
          <cell r="I24">
            <v>0</v>
          </cell>
          <cell r="J24">
            <v>1</v>
          </cell>
          <cell r="K24">
            <v>0</v>
          </cell>
          <cell r="L24">
            <v>0</v>
          </cell>
          <cell r="M24">
            <v>0</v>
          </cell>
          <cell r="N24">
            <v>0</v>
          </cell>
          <cell r="O24">
            <v>0</v>
          </cell>
          <cell r="P24" t="str">
            <v>USD</v>
          </cell>
          <cell r="Q24">
            <v>0</v>
          </cell>
          <cell r="R24">
            <v>0</v>
          </cell>
          <cell r="S24">
            <v>4</v>
          </cell>
          <cell r="T24">
            <v>4</v>
          </cell>
        </row>
        <row r="24">
          <cell r="V24">
            <v>0</v>
          </cell>
          <cell r="W24">
            <v>0</v>
          </cell>
          <cell r="X24">
            <v>0</v>
          </cell>
          <cell r="Y24">
            <v>419</v>
          </cell>
          <cell r="Z24" t="str">
            <v>CreateShippingPlan</v>
          </cell>
        </row>
        <row r="24">
          <cell r="AC24">
            <v>0</v>
          </cell>
          <cell r="AD24">
            <v>0</v>
          </cell>
        </row>
        <row r="24">
          <cell r="AF24">
            <v>0.48</v>
          </cell>
          <cell r="AG24">
            <v>0.241139</v>
          </cell>
          <cell r="AH24" t="str">
            <v>cubic feet</v>
          </cell>
          <cell r="AI24" t="str">
            <v>Standard</v>
          </cell>
          <cell r="AJ24">
            <v>0</v>
          </cell>
          <cell r="AK24" t="str">
            <v>US</v>
          </cell>
          <cell r="AL24" t="str">
            <v>gl_biss</v>
          </cell>
        </row>
        <row r="24">
          <cell r="AN24">
            <v>0</v>
          </cell>
          <cell r="AO24">
            <v>0</v>
          </cell>
        </row>
        <row r="24">
          <cell r="AQ24">
            <v>0</v>
          </cell>
          <cell r="AR24">
            <v>419</v>
          </cell>
          <cell r="AS24">
            <v>0</v>
          </cell>
          <cell r="AT24">
            <v>0</v>
          </cell>
          <cell r="AU24">
            <v>2796</v>
          </cell>
          <cell r="AV24">
            <v>2796</v>
          </cell>
          <cell r="AW24">
            <v>0</v>
          </cell>
          <cell r="AX24">
            <v>0</v>
          </cell>
          <cell r="AY24">
            <v>1</v>
          </cell>
          <cell r="AZ24">
            <v>0</v>
          </cell>
          <cell r="BA24">
            <v>0</v>
          </cell>
        </row>
        <row r="24">
          <cell r="BC24">
            <v>0</v>
          </cell>
          <cell r="BD24">
            <v>0</v>
          </cell>
          <cell r="BE24">
            <v>0</v>
          </cell>
          <cell r="BF24">
            <v>0</v>
          </cell>
        </row>
        <row r="24">
          <cell r="BH24">
            <v>0</v>
          </cell>
          <cell r="BI24">
            <v>0</v>
          </cell>
        </row>
        <row r="24">
          <cell r="BZ24">
            <v>51.5</v>
          </cell>
          <cell r="CA24">
            <v>12</v>
          </cell>
          <cell r="CB24" t="str">
            <v>Out of stock</v>
          </cell>
          <cell r="CC24">
            <v>23</v>
          </cell>
          <cell r="CD24">
            <v>46184</v>
          </cell>
          <cell r="CE24">
            <v>46181</v>
          </cell>
          <cell r="CF24" t="str">
            <v>Yes</v>
          </cell>
          <cell r="CG24" t="str">
            <v>No</v>
          </cell>
          <cell r="CH24">
            <v>0.3</v>
          </cell>
          <cell r="CI24">
            <v>51.5</v>
          </cell>
          <cell r="CJ24">
            <v>46182</v>
          </cell>
          <cell r="CK24">
            <v>0</v>
          </cell>
          <cell r="CL24">
            <v>0</v>
          </cell>
          <cell r="CM24">
            <v>0</v>
          </cell>
          <cell r="CN24">
            <v>0</v>
          </cell>
        </row>
        <row r="25">
          <cell r="A25" t="str">
            <v>X004W01IE7</v>
          </cell>
          <cell r="B25" t="str">
            <v>Amazon US</v>
          </cell>
          <cell r="C25" t="str">
            <v>US Moose Basic Edition</v>
          </cell>
          <cell r="D25" t="str">
            <v>X004W01IE7</v>
          </cell>
          <cell r="E25" t="str">
            <v>B0FXKNL138</v>
          </cell>
          <cell r="F25" t="str">
            <v>3DMakerpro 3D Scanner for 3D Printing, Handheld 3D Model Scanners with 0.05mm High Detailed Precision, Intelligent Pre and Post Data Processing, Compatible with Windows/MacOS (Moose Standard)</v>
          </cell>
          <cell r="G25" t="str">
            <v>New</v>
          </cell>
          <cell r="H25">
            <v>44</v>
          </cell>
          <cell r="I25">
            <v>0</v>
          </cell>
          <cell r="J25">
            <v>18</v>
          </cell>
          <cell r="K25">
            <v>14</v>
          </cell>
          <cell r="L25">
            <v>12</v>
          </cell>
          <cell r="M25">
            <v>0</v>
          </cell>
          <cell r="N25">
            <v>0</v>
          </cell>
          <cell r="O25">
            <v>0</v>
          </cell>
          <cell r="P25" t="str">
            <v>USD</v>
          </cell>
          <cell r="Q25">
            <v>0</v>
          </cell>
          <cell r="R25">
            <v>1</v>
          </cell>
          <cell r="S25">
            <v>5</v>
          </cell>
          <cell r="T25">
            <v>12</v>
          </cell>
          <cell r="U25" t="str">
            <v>Low traffic</v>
          </cell>
          <cell r="V25">
            <v>699</v>
          </cell>
          <cell r="W25">
            <v>0</v>
          </cell>
          <cell r="X25">
            <v>699</v>
          </cell>
          <cell r="Y25">
            <v>0</v>
          </cell>
          <cell r="Z25" t="str">
            <v>NoRestockExcessActionRequired</v>
          </cell>
        </row>
        <row r="25">
          <cell r="AB25">
            <v>0</v>
          </cell>
          <cell r="AC25">
            <v>0</v>
          </cell>
          <cell r="AD25">
            <v>0</v>
          </cell>
          <cell r="AE25">
            <v>0</v>
          </cell>
          <cell r="AF25">
            <v>0.27</v>
          </cell>
          <cell r="AG25">
            <v>0.061357</v>
          </cell>
          <cell r="AH25" t="str">
            <v>cubic feet</v>
          </cell>
          <cell r="AI25" t="str">
            <v>Standard</v>
          </cell>
          <cell r="AJ25">
            <v>2.699708</v>
          </cell>
          <cell r="AK25" t="str">
            <v>US</v>
          </cell>
          <cell r="AL25" t="str">
            <v>gl_biss</v>
          </cell>
          <cell r="AM25">
            <v>707563</v>
          </cell>
          <cell r="AN25">
            <v>291</v>
          </cell>
          <cell r="AO25">
            <v>0</v>
          </cell>
          <cell r="AP25">
            <v>176</v>
          </cell>
          <cell r="AQ25">
            <v>47</v>
          </cell>
          <cell r="AR25">
            <v>699</v>
          </cell>
          <cell r="AS25">
            <v>0</v>
          </cell>
          <cell r="AT25">
            <v>699</v>
          </cell>
          <cell r="AU25">
            <v>3495</v>
          </cell>
          <cell r="AV25">
            <v>8388</v>
          </cell>
          <cell r="AW25">
            <v>0</v>
          </cell>
          <cell r="AX25">
            <v>0</v>
          </cell>
          <cell r="AY25">
            <v>18</v>
          </cell>
          <cell r="AZ25">
            <v>12</v>
          </cell>
          <cell r="BA25">
            <v>0</v>
          </cell>
          <cell r="BB25">
            <v>2.37</v>
          </cell>
          <cell r="BC25">
            <v>0</v>
          </cell>
          <cell r="BD25">
            <v>0</v>
          </cell>
          <cell r="BE25">
            <v>0</v>
          </cell>
          <cell r="BF25">
            <v>0</v>
          </cell>
        </row>
        <row r="25">
          <cell r="BH25">
            <v>0</v>
          </cell>
          <cell r="BI25">
            <v>0</v>
          </cell>
          <cell r="BJ25">
            <v>26</v>
          </cell>
          <cell r="BK25">
            <v>0.79</v>
          </cell>
          <cell r="BL25">
            <v>0</v>
          </cell>
          <cell r="BM25">
            <v>0</v>
          </cell>
          <cell r="BN25">
            <v>0</v>
          </cell>
          <cell r="BO25">
            <v>0</v>
          </cell>
          <cell r="BP25">
            <v>0</v>
          </cell>
          <cell r="BQ25">
            <v>0</v>
          </cell>
          <cell r="BR25">
            <v>0</v>
          </cell>
          <cell r="BS25">
            <v>0</v>
          </cell>
          <cell r="BT25">
            <v>0</v>
          </cell>
          <cell r="BU25">
            <v>0</v>
          </cell>
          <cell r="BV25">
            <v>0</v>
          </cell>
          <cell r="BW25">
            <v>0</v>
          </cell>
          <cell r="BX25">
            <v>0</v>
          </cell>
          <cell r="BY25">
            <v>0</v>
          </cell>
          <cell r="BZ25">
            <v>1333</v>
          </cell>
          <cell r="CA25">
            <v>7</v>
          </cell>
          <cell r="CB25" t="str">
            <v>Healthy</v>
          </cell>
        </row>
        <row r="25">
          <cell r="CE25">
            <v>46181</v>
          </cell>
          <cell r="CF25" t="str">
            <v>Yes</v>
          </cell>
          <cell r="CG25" t="str">
            <v>No</v>
          </cell>
          <cell r="CH25">
            <v>1333</v>
          </cell>
          <cell r="CI25">
            <v>333.3</v>
          </cell>
          <cell r="CJ25">
            <v>46182</v>
          </cell>
          <cell r="CK25">
            <v>44</v>
          </cell>
          <cell r="CL25">
            <v>0</v>
          </cell>
          <cell r="CM25">
            <v>0</v>
          </cell>
          <cell r="CN25">
            <v>0</v>
          </cell>
        </row>
        <row r="26">
          <cell r="A26" t="str">
            <v>X0053EIWZT</v>
          </cell>
          <cell r="B26" t="str">
            <v>Amazon US</v>
          </cell>
          <cell r="C26" t="str">
            <v>US Toucan Premium Kit</v>
          </cell>
          <cell r="D26" t="str">
            <v>X0053EIWZT</v>
          </cell>
          <cell r="E26" t="str">
            <v>B0GYMKN5H6</v>
          </cell>
          <cell r="F26" t="str">
            <v>3DMakerpro Toucan 3D Scanner for 3D Printer Handheld All-in-one 3D Printing Scanner, Up to 1000×750 mm FOV, High-Power MEMS Optics with 0.03 mm Accuracy-Premium Version</v>
          </cell>
          <cell r="G26" t="str">
            <v>New</v>
          </cell>
          <cell r="H26">
            <v>9</v>
          </cell>
          <cell r="I26">
            <v>0</v>
          </cell>
          <cell r="J26">
            <v>19</v>
          </cell>
          <cell r="K26">
            <v>0</v>
          </cell>
          <cell r="L26">
            <v>0</v>
          </cell>
          <cell r="M26">
            <v>0</v>
          </cell>
          <cell r="N26">
            <v>0</v>
          </cell>
          <cell r="O26">
            <v>0</v>
          </cell>
          <cell r="P26" t="str">
            <v>USD</v>
          </cell>
        </row>
        <row r="26">
          <cell r="U26" t="str">
            <v>Low traffic</v>
          </cell>
          <cell r="V26">
            <v>2049</v>
          </cell>
          <cell r="W26">
            <v>0</v>
          </cell>
          <cell r="X26">
            <v>2049</v>
          </cell>
          <cell r="Y26">
            <v>0</v>
          </cell>
          <cell r="Z26" t="str">
            <v>Advertise listing</v>
          </cell>
        </row>
        <row r="26">
          <cell r="AC26">
            <v>0</v>
          </cell>
          <cell r="AD26">
            <v>0</v>
          </cell>
        </row>
        <row r="26">
          <cell r="AF26">
            <v>0</v>
          </cell>
          <cell r="AG26">
            <v>0.386966</v>
          </cell>
          <cell r="AH26" t="str">
            <v>cubic feet</v>
          </cell>
          <cell r="AI26" t="str">
            <v>Standard</v>
          </cell>
          <cell r="AJ26">
            <v>3.482694</v>
          </cell>
          <cell r="AK26" t="str">
            <v>US</v>
          </cell>
          <cell r="AL26" t="str">
            <v>gl_biss</v>
          </cell>
        </row>
        <row r="26">
          <cell r="AN26">
            <v>28</v>
          </cell>
          <cell r="AO26">
            <v>0</v>
          </cell>
        </row>
        <row r="26">
          <cell r="AR26">
            <v>2049</v>
          </cell>
        </row>
        <row r="26">
          <cell r="AW26">
            <v>5</v>
          </cell>
          <cell r="AX26">
            <v>14</v>
          </cell>
          <cell r="AY26">
            <v>0</v>
          </cell>
          <cell r="AZ26">
            <v>0</v>
          </cell>
          <cell r="BA26">
            <v>0</v>
          </cell>
        </row>
        <row r="26">
          <cell r="BC26">
            <v>0</v>
          </cell>
          <cell r="BD26">
            <v>0</v>
          </cell>
          <cell r="BE26">
            <v>0</v>
          </cell>
          <cell r="BF26">
            <v>0</v>
          </cell>
        </row>
        <row r="26">
          <cell r="BH26">
            <v>0</v>
          </cell>
          <cell r="BI26">
            <v>0</v>
          </cell>
        </row>
        <row r="26">
          <cell r="CC26">
            <v>20</v>
          </cell>
          <cell r="CD26">
            <v>46191</v>
          </cell>
        </row>
        <row r="26">
          <cell r="CJ26">
            <v>46182</v>
          </cell>
          <cell r="CK26">
            <v>19</v>
          </cell>
          <cell r="CL26">
            <v>10</v>
          </cell>
          <cell r="CM26">
            <v>0</v>
          </cell>
          <cell r="CN26">
            <v>0</v>
          </cell>
        </row>
        <row r="27">
          <cell r="A27" t="str">
            <v>X004U8MGNN</v>
          </cell>
          <cell r="B27" t="str">
            <v>Amazon US</v>
          </cell>
          <cell r="C27" t="str">
            <v>US Seal Basic Edition</v>
          </cell>
          <cell r="D27" t="str">
            <v>X004U8MGNN</v>
          </cell>
          <cell r="E27" t="str">
            <v>B0FR8HY56K</v>
          </cell>
          <cell r="F27" t="str">
            <v>3DMakerpro 3D Scanner for 3D Printer with 0.01mm Accuracy, 24-bit Color Camera, 10FPS Scanning Speed, Anti-Shake Scan 3D Model Scanner for Android/iOS/Win10/MacOS-Seal Standard</v>
          </cell>
          <cell r="G27" t="str">
            <v>New</v>
          </cell>
          <cell r="H27">
            <v>22</v>
          </cell>
          <cell r="I27">
            <v>0</v>
          </cell>
          <cell r="J27">
            <v>1</v>
          </cell>
          <cell r="K27">
            <v>3</v>
          </cell>
          <cell r="L27">
            <v>19</v>
          </cell>
          <cell r="M27">
            <v>0</v>
          </cell>
          <cell r="N27">
            <v>0</v>
          </cell>
          <cell r="O27">
            <v>0</v>
          </cell>
          <cell r="P27" t="str">
            <v>USD</v>
          </cell>
          <cell r="Q27">
            <v>1</v>
          </cell>
          <cell r="R27">
            <v>3</v>
          </cell>
          <cell r="S27">
            <v>3</v>
          </cell>
          <cell r="T27">
            <v>6</v>
          </cell>
          <cell r="U27" t="str">
            <v>Low traffic</v>
          </cell>
          <cell r="V27">
            <v>699</v>
          </cell>
          <cell r="W27">
            <v>0</v>
          </cell>
          <cell r="X27">
            <v>699</v>
          </cell>
          <cell r="Y27">
            <v>0</v>
          </cell>
          <cell r="Z27" t="str">
            <v>NoRestockExcessActionRequired</v>
          </cell>
        </row>
        <row r="27">
          <cell r="AB27">
            <v>0</v>
          </cell>
          <cell r="AC27">
            <v>0</v>
          </cell>
          <cell r="AD27">
            <v>0</v>
          </cell>
          <cell r="AE27">
            <v>1492.85</v>
          </cell>
          <cell r="AF27">
            <v>0.23</v>
          </cell>
          <cell r="AG27">
            <v>0.001157</v>
          </cell>
          <cell r="AH27" t="str">
            <v>cubic feet</v>
          </cell>
          <cell r="AI27" t="str">
            <v>Standard</v>
          </cell>
          <cell r="AJ27">
            <v>0.025454</v>
          </cell>
          <cell r="AK27" t="str">
            <v>US</v>
          </cell>
          <cell r="AL27" t="str">
            <v>gl_biss</v>
          </cell>
          <cell r="AM27">
            <v>332862</v>
          </cell>
          <cell r="AN27">
            <v>172</v>
          </cell>
          <cell r="AO27">
            <v>0</v>
          </cell>
          <cell r="AP27">
            <v>29</v>
          </cell>
          <cell r="AQ27">
            <v>47</v>
          </cell>
          <cell r="AR27">
            <v>699</v>
          </cell>
          <cell r="AS27">
            <v>664.05</v>
          </cell>
          <cell r="AT27">
            <v>2062.05</v>
          </cell>
          <cell r="AU27">
            <v>2062.05</v>
          </cell>
          <cell r="AV27">
            <v>3679.05</v>
          </cell>
          <cell r="AW27">
            <v>0</v>
          </cell>
          <cell r="AX27">
            <v>0</v>
          </cell>
          <cell r="AY27">
            <v>1</v>
          </cell>
          <cell r="AZ27">
            <v>19</v>
          </cell>
          <cell r="BA27">
            <v>0</v>
          </cell>
          <cell r="BB27">
            <v>0.04</v>
          </cell>
          <cell r="BC27">
            <v>0</v>
          </cell>
          <cell r="BD27">
            <v>0</v>
          </cell>
          <cell r="BE27">
            <v>0</v>
          </cell>
          <cell r="BF27">
            <v>0</v>
          </cell>
        </row>
        <row r="27">
          <cell r="BH27">
            <v>0</v>
          </cell>
          <cell r="BI27">
            <v>0</v>
          </cell>
          <cell r="BJ27">
            <v>1</v>
          </cell>
          <cell r="BK27">
            <v>0</v>
          </cell>
          <cell r="BL27">
            <v>18</v>
          </cell>
          <cell r="BM27">
            <v>0.01</v>
          </cell>
          <cell r="BN27">
            <v>0</v>
          </cell>
          <cell r="BO27">
            <v>0</v>
          </cell>
          <cell r="BP27">
            <v>0</v>
          </cell>
          <cell r="BQ27">
            <v>0</v>
          </cell>
          <cell r="BR27">
            <v>0</v>
          </cell>
          <cell r="BS27">
            <v>0</v>
          </cell>
          <cell r="BT27">
            <v>0</v>
          </cell>
          <cell r="BU27">
            <v>0</v>
          </cell>
          <cell r="BV27">
            <v>0</v>
          </cell>
          <cell r="BW27">
            <v>0</v>
          </cell>
          <cell r="BX27">
            <v>0</v>
          </cell>
          <cell r="BY27">
            <v>0</v>
          </cell>
          <cell r="BZ27">
            <v>337.1</v>
          </cell>
          <cell r="CA27">
            <v>7</v>
          </cell>
          <cell r="CB27" t="str">
            <v>Healthy</v>
          </cell>
        </row>
        <row r="27">
          <cell r="CE27">
            <v>46181</v>
          </cell>
          <cell r="CF27" t="str">
            <v>Yes</v>
          </cell>
          <cell r="CG27" t="str">
            <v>No</v>
          </cell>
          <cell r="CH27">
            <v>254</v>
          </cell>
          <cell r="CI27">
            <v>337.1</v>
          </cell>
          <cell r="CJ27">
            <v>46182</v>
          </cell>
          <cell r="CK27">
            <v>22</v>
          </cell>
          <cell r="CL27">
            <v>0</v>
          </cell>
          <cell r="CM27">
            <v>0</v>
          </cell>
          <cell r="CN27">
            <v>0</v>
          </cell>
        </row>
        <row r="28">
          <cell r="A28" t="str">
            <v>X004VUEO0D</v>
          </cell>
          <cell r="B28" t="str">
            <v>Amazon US</v>
          </cell>
          <cell r="C28" t="str">
            <v>US Mole Advanced Kit</v>
          </cell>
          <cell r="D28" t="str">
            <v>X004VUEO0D</v>
          </cell>
          <cell r="E28" t="str">
            <v>B0FX474YHZ</v>
          </cell>
          <cell r="F28" t="str">
            <v>3DMakerpro 3D Scanner, Handheld 3D Model Scanners Mole for 3D Printing, 0.05mm Accuracy, 0.1mm Resolution, 10FPS Scanning Speed, Anti-Shake Lenses, Compatible with Win10/MacOS -Premium Kit</v>
          </cell>
          <cell r="G28" t="str">
            <v>New</v>
          </cell>
          <cell r="H28">
            <v>1</v>
          </cell>
          <cell r="I28">
            <v>0</v>
          </cell>
          <cell r="J28">
            <v>1</v>
          </cell>
          <cell r="K28">
            <v>0</v>
          </cell>
          <cell r="L28">
            <v>0</v>
          </cell>
          <cell r="M28">
            <v>0</v>
          </cell>
          <cell r="N28">
            <v>0</v>
          </cell>
          <cell r="O28">
            <v>0</v>
          </cell>
          <cell r="P28" t="str">
            <v>USD</v>
          </cell>
          <cell r="Q28">
            <v>0</v>
          </cell>
          <cell r="R28">
            <v>0</v>
          </cell>
          <cell r="S28">
            <v>0</v>
          </cell>
          <cell r="T28">
            <v>0</v>
          </cell>
          <cell r="U28" t="str">
            <v>Low traffic</v>
          </cell>
          <cell r="V28">
            <v>749</v>
          </cell>
          <cell r="W28">
            <v>0</v>
          </cell>
          <cell r="X28">
            <v>749</v>
          </cell>
          <cell r="Y28">
            <v>0</v>
          </cell>
          <cell r="Z28" t="str">
            <v>Advertise listing</v>
          </cell>
        </row>
        <row r="28">
          <cell r="AB28">
            <v>0</v>
          </cell>
          <cell r="AC28">
            <v>0</v>
          </cell>
          <cell r="AD28">
            <v>0</v>
          </cell>
          <cell r="AE28">
            <v>0</v>
          </cell>
          <cell r="AF28">
            <v>0</v>
          </cell>
          <cell r="AG28">
            <v>0.406421</v>
          </cell>
          <cell r="AH28" t="str">
            <v>cubic feet</v>
          </cell>
          <cell r="AI28" t="str">
            <v>Standard</v>
          </cell>
          <cell r="AJ28">
            <v>0.406421</v>
          </cell>
          <cell r="AK28" t="str">
            <v>US</v>
          </cell>
          <cell r="AL28" t="str">
            <v>gl_biss</v>
          </cell>
          <cell r="AM28">
            <v>445922</v>
          </cell>
          <cell r="AN28">
            <v>4</v>
          </cell>
          <cell r="AO28">
            <v>0</v>
          </cell>
        </row>
        <row r="28">
          <cell r="AR28">
            <v>749</v>
          </cell>
          <cell r="AS28">
            <v>0</v>
          </cell>
          <cell r="AT28">
            <v>0</v>
          </cell>
          <cell r="AU28">
            <v>0</v>
          </cell>
          <cell r="AV28">
            <v>0</v>
          </cell>
          <cell r="AW28">
            <v>1</v>
          </cell>
          <cell r="AX28">
            <v>0</v>
          </cell>
          <cell r="AY28">
            <v>0</v>
          </cell>
          <cell r="AZ28">
            <v>0</v>
          </cell>
          <cell r="BA28">
            <v>0</v>
          </cell>
          <cell r="BB28">
            <v>0.07</v>
          </cell>
          <cell r="BC28">
            <v>0</v>
          </cell>
          <cell r="BD28">
            <v>0</v>
          </cell>
          <cell r="BE28">
            <v>0</v>
          </cell>
          <cell r="BF28">
            <v>0</v>
          </cell>
        </row>
        <row r="28">
          <cell r="BH28">
            <v>0</v>
          </cell>
          <cell r="BI28">
            <v>0</v>
          </cell>
        </row>
        <row r="28">
          <cell r="CA28">
            <v>19</v>
          </cell>
          <cell r="CB28" t="str">
            <v>Low stock</v>
          </cell>
          <cell r="CC28">
            <v>25</v>
          </cell>
          <cell r="CD28">
            <v>46187</v>
          </cell>
        </row>
        <row r="28">
          <cell r="CJ28">
            <v>46182</v>
          </cell>
          <cell r="CK28">
            <v>1</v>
          </cell>
          <cell r="CL28">
            <v>0</v>
          </cell>
          <cell r="CM28">
            <v>0</v>
          </cell>
          <cell r="CN28">
            <v>0</v>
          </cell>
        </row>
        <row r="29">
          <cell r="A29" t="str">
            <v>FNSKU</v>
          </cell>
          <cell r="B29" t="str">
            <v>快照日期</v>
          </cell>
          <cell r="C29" t="str">
            <v>sku</v>
          </cell>
          <cell r="D29" t="str">
            <v>FNSKU</v>
          </cell>
          <cell r="E29" t="str">
            <v>asin</v>
          </cell>
          <cell r="F29" t="str">
            <v>商品名称</v>
          </cell>
          <cell r="G29" t="str">
            <v>condition</v>
          </cell>
          <cell r="H29" t="str">
            <v>available</v>
          </cell>
          <cell r="I29" t="str">
            <v>正在移除的库存数量</v>
          </cell>
          <cell r="J29" t="str">
            <v>库龄 0-90 天</v>
          </cell>
          <cell r="K29" t="str">
            <v>库龄 91-180 天</v>
          </cell>
          <cell r="L29" t="str">
            <v>库龄 181-270 天</v>
          </cell>
          <cell r="M29" t="str">
            <v>库龄 271-365 天</v>
          </cell>
          <cell r="N29" t="str">
            <v>库龄 365 天以上</v>
          </cell>
          <cell r="O29" t="str">
            <v>currency</v>
          </cell>
          <cell r="P29" t="str">
            <v>配送商品数量（过去 7 天）</v>
          </cell>
          <cell r="Q29" t="str">
            <v>配送商品数量（过去 30 天）</v>
          </cell>
          <cell r="R29" t="str">
            <v>配送商品数量（过去 60 天）</v>
          </cell>
          <cell r="S29" t="str">
            <v>配送商品数量（过去 90 天）</v>
          </cell>
          <cell r="T29" t="str">
            <v>alert</v>
          </cell>
          <cell r="U29" t="str">
            <v>您的价格</v>
          </cell>
          <cell r="V29" t="str">
            <v>促销价格</v>
          </cell>
          <cell r="W29" t="str">
            <v>新品最低价格</v>
          </cell>
          <cell r="X29" t="str">
            <v>二手商品最低价格</v>
          </cell>
          <cell r="Y29" t="str">
            <v>建议操作</v>
          </cell>
          <cell r="Z29" t="str">
            <v>DEPRECATED healthy-inventory-level</v>
          </cell>
          <cell r="AA29" t="str">
            <v>建议促销价格</v>
          </cell>
          <cell r="AB29" t="str">
            <v>建议促销持续时间</v>
          </cell>
          <cell r="AC29" t="str">
            <v>建议移除数量</v>
          </cell>
          <cell r="AD29" t="str">
            <v>采取建议操作预计节省成本</v>
          </cell>
          <cell r="AE29" t="str">
            <v>售出率</v>
          </cell>
          <cell r="AF29" t="str">
            <v>商品体积</v>
          </cell>
          <cell r="AG29" t="str">
            <v>体积单位</v>
          </cell>
          <cell r="AH29" t="str">
            <v>仓储类型</v>
          </cell>
          <cell r="AI29" t="str">
            <v>仓储容量</v>
          </cell>
          <cell r="AJ29" t="str">
            <v>store</v>
          </cell>
          <cell r="AK29" t="str">
            <v>商品类别</v>
          </cell>
          <cell r="AL29" t="str">
            <v>销售排名</v>
          </cell>
          <cell r="AM29" t="str">
            <v>供货天数</v>
          </cell>
          <cell r="AN29" t="str">
            <v>预计冗余数量</v>
          </cell>
          <cell r="AO29" t="str">
            <v>可维持周数-过去 30 天</v>
          </cell>
          <cell r="AP29" t="str">
            <v>可维持周数-过去 90 天</v>
          </cell>
          <cell r="AQ29" t="str">
            <v>推荐报价的价格</v>
          </cell>
          <cell r="AR29" t="str">
            <v>过去 7 天内配送的售出商品</v>
          </cell>
          <cell r="AS29" t="str">
            <v>过去 30 天内配送的售出商品</v>
          </cell>
          <cell r="AT29" t="str">
            <v>过去 60 天内配送的售出商品</v>
          </cell>
          <cell r="AU29" t="str">
            <v>过去 90 天内配送的售出商品</v>
          </cell>
          <cell r="AV29" t="str">
            <v>库龄 0-30 天</v>
          </cell>
          <cell r="AW29" t="str">
            <v>库龄 31-60 天</v>
          </cell>
          <cell r="AX29" t="str">
            <v>库龄 61-90 天</v>
          </cell>
          <cell r="AY29" t="str">
            <v>库龄 181-330 天</v>
          </cell>
          <cell r="AZ29" t="str">
            <v>库龄 331-365 天</v>
          </cell>
          <cell r="BA29" t="str">
            <v>未来 30 天预计仓储成本</v>
          </cell>
          <cell r="BB29" t="str">
            <v>入库数量</v>
          </cell>
          <cell r="BC29" t="str">
            <v>入库-处理中</v>
          </cell>
          <cell r="BD29" t="str">
            <v>入库-已发出</v>
          </cell>
          <cell r="BE29" t="str">
            <v>入库-已接收</v>
          </cell>
          <cell r="BF29" t="str">
            <v>预留总数量</v>
          </cell>
          <cell r="BG29" t="str">
            <v>不可售数量</v>
          </cell>
          <cell r="BH29" t="str">
            <v>quantity-to-be-charged-ais-271-300-days</v>
          </cell>
          <cell r="BI29" t="str">
            <v>estimated-ais-271-300-days</v>
          </cell>
          <cell r="BJ29" t="str">
            <v>quantity-to-be-charged-ais-301-330-days</v>
          </cell>
          <cell r="BK29" t="str">
            <v>estimated-ais-301-330-days</v>
          </cell>
          <cell r="BL29" t="str">
            <v>quantity-to-be-charged-ais-331-365-days</v>
          </cell>
          <cell r="BM29" t="str">
            <v>estimated-ais-331-365-days</v>
          </cell>
          <cell r="BN29" t="str">
            <v>quantity-to-be-charged-ais-365-plus-days</v>
          </cell>
          <cell r="BO29" t="str">
            <v>estimated-ais-365-plus-days</v>
          </cell>
          <cell r="BP29" t="str">
            <v>historical-days-of-supply</v>
          </cell>
          <cell r="BQ29" t="str">
            <v>建议发货数量</v>
          </cell>
          <cell r="BR29" t="str">
            <v>建议发货日期</v>
          </cell>
          <cell r="BS29" t="str">
            <v>历史供货天数的最新更新日期</v>
          </cell>
          <cell r="BT29" t="str">
            <v>低库存水平费豁免？</v>
          </cell>
          <cell r="BU29" t="str">
            <v>当前周收取的低库存水平费？</v>
          </cell>
          <cell r="BV29" t="str">
            <v>短期历史供货天数</v>
          </cell>
          <cell r="BW29" t="str">
            <v>长期历史供货天数</v>
          </cell>
          <cell r="BX29" t="str">
            <v>库龄快照日期</v>
          </cell>
          <cell r="BY29" t="str">
            <v>亚马逊物流库存供应</v>
          </cell>
          <cell r="BZ29" t="str">
            <v>Reserved FC Transfer</v>
          </cell>
          <cell r="CA29" t="str">
            <v>Reserved FC Processing</v>
          </cell>
          <cell r="CB29" t="str">
            <v>Reserved Customer Order</v>
          </cell>
          <cell r="CC29" t="str">
            <v>Reserved Staging</v>
          </cell>
          <cell r="CD29" t="str">
            <v>总供货天数（包括未完成货件中的商品）</v>
          </cell>
          <cell r="CE29" t="str">
            <v>供应商</v>
          </cell>
          <cell r="CF29" t="str">
            <v>is-seasonal-in-next-3-months</v>
          </cell>
          <cell r="CG29" t="str">
            <v>season-name</v>
          </cell>
          <cell r="CH29" t="str">
            <v>season-start-date</v>
          </cell>
          <cell r="CI29" t="str">
            <v>season-end-date</v>
          </cell>
        </row>
        <row r="30">
          <cell r="A30" t="str">
            <v>X0016DQDLF</v>
          </cell>
          <cell r="B30" t="str">
            <v>Amazon JP</v>
          </cell>
          <cell r="C30" t="str">
            <v>K4-08OA-QRY4</v>
          </cell>
          <cell r="D30" t="str">
            <v>X0016DQDLF</v>
          </cell>
          <cell r="E30" t="str">
            <v>B0CSYXL3BT</v>
          </cell>
          <cell r="F30" t="str">
            <v>3DMakerpro 3Dスキャナー 手持ちハンドル 適用モデル Seal、Seal lite、Moose、 Moose lite</v>
          </cell>
          <cell r="G30" t="str">
            <v>New</v>
          </cell>
          <cell r="H30">
            <v>23</v>
          </cell>
          <cell r="I30">
            <v>0</v>
          </cell>
          <cell r="J30">
            <v>12</v>
          </cell>
          <cell r="K30">
            <v>12</v>
          </cell>
          <cell r="L30">
            <v>0</v>
          </cell>
          <cell r="M30">
            <v>0</v>
          </cell>
          <cell r="N30">
            <v>0</v>
          </cell>
          <cell r="O30" t="str">
            <v>JPY</v>
          </cell>
          <cell r="P30">
            <v>1</v>
          </cell>
          <cell r="Q30">
            <v>2</v>
          </cell>
          <cell r="R30">
            <v>4</v>
          </cell>
          <cell r="S30">
            <v>6</v>
          </cell>
          <cell r="T30" t="str">
            <v>Low traffic</v>
          </cell>
          <cell r="U30">
            <v>42556</v>
          </cell>
          <cell r="V30">
            <v>0</v>
          </cell>
          <cell r="W30">
            <v>42556</v>
          </cell>
          <cell r="X30">
            <v>0</v>
          </cell>
          <cell r="Y30" t="str">
            <v>NoRestockExcessActionRequired</v>
          </cell>
          <cell r="Z30">
            <v>0</v>
          </cell>
          <cell r="AA30">
            <v>0</v>
          </cell>
          <cell r="AB30">
            <v>0</v>
          </cell>
          <cell r="AC30">
            <v>0</v>
          </cell>
          <cell r="AD30">
            <v>405641.5</v>
          </cell>
          <cell r="AE30">
            <v>0.25</v>
          </cell>
          <cell r="AF30">
            <v>0.003078</v>
          </cell>
          <cell r="AG30" t="str">
            <v>cubic meter</v>
          </cell>
          <cell r="AH30" t="str">
            <v>Standard</v>
          </cell>
          <cell r="AI30">
            <v>0.070784</v>
          </cell>
          <cell r="AJ30" t="str">
            <v>JP</v>
          </cell>
          <cell r="AK30" t="str">
            <v>gl_home_improvement</v>
          </cell>
          <cell r="AL30">
            <v>27494</v>
          </cell>
          <cell r="AM30">
            <v>366</v>
          </cell>
          <cell r="AN30">
            <v>23</v>
          </cell>
          <cell r="AO30">
            <v>46</v>
          </cell>
          <cell r="AP30">
            <v>49</v>
          </cell>
          <cell r="AQ30">
            <v>42556</v>
          </cell>
          <cell r="AR30">
            <v>38687</v>
          </cell>
          <cell r="AS30">
            <v>77375</v>
          </cell>
          <cell r="AT30">
            <v>149411</v>
          </cell>
          <cell r="AU30">
            <v>224116</v>
          </cell>
          <cell r="AV30">
            <v>0</v>
          </cell>
          <cell r="AW30">
            <v>12</v>
          </cell>
          <cell r="AX30">
            <v>0</v>
          </cell>
          <cell r="AY30">
            <v>0</v>
          </cell>
          <cell r="AZ30">
            <v>0</v>
          </cell>
          <cell r="BA30">
            <v>335.54</v>
          </cell>
          <cell r="BB30">
            <v>0</v>
          </cell>
          <cell r="BC30">
            <v>0</v>
          </cell>
          <cell r="BD30">
            <v>0</v>
          </cell>
          <cell r="BE30">
            <v>0</v>
          </cell>
          <cell r="BF30">
            <v>0</v>
          </cell>
          <cell r="BG30">
            <v>0</v>
          </cell>
        </row>
        <row r="30">
          <cell r="BP30">
            <v>742</v>
          </cell>
          <cell r="BQ30">
            <v>0</v>
          </cell>
        </row>
        <row r="30">
          <cell r="BS30">
            <v>46181</v>
          </cell>
          <cell r="BT30" t="str">
            <v>是</v>
          </cell>
          <cell r="BU30" t="str">
            <v>否</v>
          </cell>
          <cell r="BV30">
            <v>742</v>
          </cell>
          <cell r="BW30">
            <v>368.6</v>
          </cell>
          <cell r="BX30">
            <v>46183</v>
          </cell>
          <cell r="BY30">
            <v>23</v>
          </cell>
          <cell r="BZ30">
            <v>0</v>
          </cell>
          <cell r="CA30">
            <v>0</v>
          </cell>
          <cell r="CB30">
            <v>0</v>
          </cell>
          <cell r="CC30">
            <v>0</v>
          </cell>
          <cell r="CD30">
            <v>366</v>
          </cell>
          <cell r="CE30" t="str">
            <v>--</v>
          </cell>
          <cell r="CF30" t="str">
            <v>N</v>
          </cell>
        </row>
        <row r="31">
          <cell r="A31" t="str">
            <v>X0012I1EDL</v>
          </cell>
          <cell r="B31" t="str">
            <v>Amazon JP</v>
          </cell>
          <cell r="C31" t="str">
            <v>CR-SCAN-01</v>
          </cell>
          <cell r="D31" t="str">
            <v>X0012I1EDL</v>
          </cell>
          <cell r="E31" t="str">
            <v>B0BN1GBXTR</v>
          </cell>
          <cell r="F31" t="str">
            <v>3DMakerpro Lynx 3Dスキャナー- 0.1 mmの精度と10 FPSのスキャン速度携帯用3Dスキャナー3Dプリントとスマート大規模整列アルゴリズムLynx 3Dスキャナー 家庭用(標準版)</v>
          </cell>
          <cell r="G31" t="str">
            <v>New</v>
          </cell>
          <cell r="H31">
            <v>5</v>
          </cell>
          <cell r="I31">
            <v>0</v>
          </cell>
          <cell r="J31">
            <v>0</v>
          </cell>
          <cell r="K31">
            <v>0</v>
          </cell>
          <cell r="L31">
            <v>5</v>
          </cell>
          <cell r="M31">
            <v>0</v>
          </cell>
          <cell r="N31">
            <v>0</v>
          </cell>
          <cell r="O31" t="str">
            <v>JPY</v>
          </cell>
          <cell r="P31">
            <v>0</v>
          </cell>
          <cell r="Q31">
            <v>0</v>
          </cell>
          <cell r="R31">
            <v>0</v>
          </cell>
          <cell r="S31">
            <v>0</v>
          </cell>
          <cell r="T31" t="str">
            <v>Low traffic</v>
          </cell>
          <cell r="U31">
            <v>52937</v>
          </cell>
          <cell r="V31">
            <v>0</v>
          </cell>
          <cell r="W31">
            <v>52937</v>
          </cell>
          <cell r="X31">
            <v>0</v>
          </cell>
          <cell r="Y31" t="str">
            <v>推广商品</v>
          </cell>
          <cell r="Z31">
            <v>0</v>
          </cell>
          <cell r="AA31">
            <v>0</v>
          </cell>
          <cell r="AB31">
            <v>0</v>
          </cell>
          <cell r="AC31">
            <v>0</v>
          </cell>
          <cell r="AD31">
            <v>191031.07</v>
          </cell>
          <cell r="AE31">
            <v>0</v>
          </cell>
          <cell r="AF31">
            <v>0.01553</v>
          </cell>
          <cell r="AG31" t="str">
            <v>cubic meter</v>
          </cell>
          <cell r="AH31" t="str">
            <v>Standard</v>
          </cell>
          <cell r="AI31">
            <v>0.077648</v>
          </cell>
          <cell r="AJ31" t="str">
            <v>JP</v>
          </cell>
          <cell r="AK31" t="str">
            <v>gl_home_improvement</v>
          </cell>
          <cell r="AL31">
            <v>58314</v>
          </cell>
          <cell r="AM31">
            <v>112</v>
          </cell>
          <cell r="AN31">
            <v>5</v>
          </cell>
        </row>
        <row r="31">
          <cell r="AQ31">
            <v>52937</v>
          </cell>
          <cell r="AR31">
            <v>0</v>
          </cell>
          <cell r="AS31">
            <v>0</v>
          </cell>
          <cell r="AT31">
            <v>0</v>
          </cell>
          <cell r="AU31">
            <v>0</v>
          </cell>
          <cell r="AV31">
            <v>0</v>
          </cell>
          <cell r="AW31">
            <v>0</v>
          </cell>
          <cell r="AX31">
            <v>0</v>
          </cell>
          <cell r="AY31">
            <v>5</v>
          </cell>
          <cell r="AZ31">
            <v>0</v>
          </cell>
          <cell r="BA31">
            <v>368.08</v>
          </cell>
          <cell r="BB31">
            <v>0</v>
          </cell>
          <cell r="BC31">
            <v>0</v>
          </cell>
          <cell r="BD31">
            <v>0</v>
          </cell>
          <cell r="BE31">
            <v>0</v>
          </cell>
          <cell r="BF31">
            <v>0</v>
          </cell>
          <cell r="BG31">
            <v>0</v>
          </cell>
        </row>
        <row r="31">
          <cell r="BP31">
            <v>1243</v>
          </cell>
          <cell r="BQ31">
            <v>0</v>
          </cell>
        </row>
        <row r="31">
          <cell r="BS31">
            <v>46181</v>
          </cell>
          <cell r="BT31" t="str">
            <v>是</v>
          </cell>
          <cell r="BU31" t="str">
            <v>否</v>
          </cell>
          <cell r="BV31">
            <v>403</v>
          </cell>
          <cell r="BW31">
            <v>1243</v>
          </cell>
          <cell r="BX31">
            <v>46183</v>
          </cell>
          <cell r="BY31">
            <v>5</v>
          </cell>
          <cell r="BZ31">
            <v>0</v>
          </cell>
          <cell r="CA31">
            <v>0</v>
          </cell>
          <cell r="CB31">
            <v>0</v>
          </cell>
          <cell r="CC31">
            <v>0</v>
          </cell>
          <cell r="CD31">
            <v>112</v>
          </cell>
          <cell r="CE31" t="str">
            <v>--</v>
          </cell>
          <cell r="CF31" t="str">
            <v>N</v>
          </cell>
        </row>
        <row r="32">
          <cell r="A32" t="str">
            <v>X001BHHALD</v>
          </cell>
          <cell r="B32" t="str">
            <v>Amazon JP</v>
          </cell>
          <cell r="C32" t="str">
            <v>seal lite-Standard-jp-3</v>
          </cell>
          <cell r="D32" t="str">
            <v>X001BHHALD</v>
          </cell>
          <cell r="E32" t="str">
            <v>B0FQ5M5NTD</v>
          </cell>
          <cell r="F32" t="str">
            <v>3DMakerpro Seal Lite ハンディヘルド3Dスキャナー（3Dプリンター用）、0.02mmの高詳細精度、10FPSの超高速スキャンとアンチシェイクレンズ搭載、Windows/MacOS対応3Dモデルスキャナー（標準版）</v>
          </cell>
          <cell r="G32" t="str">
            <v>New</v>
          </cell>
          <cell r="H32">
            <v>30</v>
          </cell>
          <cell r="I32">
            <v>0</v>
          </cell>
          <cell r="J32">
            <v>30</v>
          </cell>
          <cell r="K32">
            <v>0</v>
          </cell>
          <cell r="L32">
            <v>0</v>
          </cell>
          <cell r="M32">
            <v>0</v>
          </cell>
          <cell r="N32">
            <v>0</v>
          </cell>
          <cell r="O32" t="str">
            <v>JPY</v>
          </cell>
          <cell r="P32">
            <v>0</v>
          </cell>
          <cell r="Q32">
            <v>2</v>
          </cell>
          <cell r="R32">
            <v>4</v>
          </cell>
          <cell r="S32">
            <v>11</v>
          </cell>
        </row>
        <row r="32">
          <cell r="U32">
            <v>52100</v>
          </cell>
          <cell r="V32">
            <v>0</v>
          </cell>
          <cell r="W32">
            <v>52100</v>
          </cell>
          <cell r="X32">
            <v>0</v>
          </cell>
          <cell r="Y32" t="str">
            <v>NoRestockExcessActionRequired</v>
          </cell>
          <cell r="Z32">
            <v>2</v>
          </cell>
          <cell r="AA32">
            <v>43119</v>
          </cell>
          <cell r="AB32">
            <v>9</v>
          </cell>
          <cell r="AC32">
            <v>0</v>
          </cell>
          <cell r="AD32">
            <v>455129.65</v>
          </cell>
          <cell r="AE32">
            <v>0.54</v>
          </cell>
          <cell r="AF32">
            <v>0.012992</v>
          </cell>
          <cell r="AG32" t="str">
            <v>cubic meter</v>
          </cell>
          <cell r="AH32" t="str">
            <v>Standard</v>
          </cell>
          <cell r="AI32">
            <v>0.38976</v>
          </cell>
          <cell r="AJ32" t="str">
            <v>JP</v>
          </cell>
          <cell r="AK32" t="str">
            <v>gl_home_improvement</v>
          </cell>
          <cell r="AL32">
            <v>44217</v>
          </cell>
          <cell r="AM32">
            <v>197</v>
          </cell>
          <cell r="AN32">
            <v>0</v>
          </cell>
          <cell r="AO32">
            <v>60</v>
          </cell>
          <cell r="AP32">
            <v>35</v>
          </cell>
          <cell r="AQ32">
            <v>52100</v>
          </cell>
          <cell r="AR32">
            <v>0</v>
          </cell>
          <cell r="AS32">
            <v>86563</v>
          </cell>
          <cell r="AT32">
            <v>169857</v>
          </cell>
          <cell r="AU32">
            <v>468746</v>
          </cell>
          <cell r="AV32">
            <v>0</v>
          </cell>
          <cell r="AW32">
            <v>30</v>
          </cell>
          <cell r="AX32">
            <v>0</v>
          </cell>
          <cell r="AY32">
            <v>0</v>
          </cell>
          <cell r="AZ32">
            <v>0</v>
          </cell>
          <cell r="BA32">
            <v>1847.6</v>
          </cell>
          <cell r="BB32">
            <v>0</v>
          </cell>
          <cell r="BC32">
            <v>0</v>
          </cell>
          <cell r="BD32">
            <v>0</v>
          </cell>
          <cell r="BE32">
            <v>0</v>
          </cell>
          <cell r="BF32">
            <v>0</v>
          </cell>
          <cell r="BG32">
            <v>0</v>
          </cell>
        </row>
        <row r="32">
          <cell r="BP32">
            <v>205</v>
          </cell>
          <cell r="BQ32">
            <v>0</v>
          </cell>
        </row>
        <row r="32">
          <cell r="BS32">
            <v>46181</v>
          </cell>
          <cell r="BT32" t="str">
            <v>是</v>
          </cell>
          <cell r="BU32" t="str">
            <v>否</v>
          </cell>
          <cell r="BV32">
            <v>205</v>
          </cell>
          <cell r="BW32">
            <v>121.3</v>
          </cell>
          <cell r="BX32">
            <v>46183</v>
          </cell>
          <cell r="BY32">
            <v>30</v>
          </cell>
          <cell r="BZ32">
            <v>0</v>
          </cell>
          <cell r="CA32">
            <v>0</v>
          </cell>
          <cell r="CB32">
            <v>0</v>
          </cell>
          <cell r="CC32">
            <v>0</v>
          </cell>
          <cell r="CD32">
            <v>197</v>
          </cell>
          <cell r="CE32" t="str">
            <v>--</v>
          </cell>
          <cell r="CF32" t="str">
            <v>N</v>
          </cell>
        </row>
        <row r="33">
          <cell r="A33" t="str">
            <v>X0017L3Y8V</v>
          </cell>
          <cell r="B33" t="str">
            <v>Amazon JP</v>
          </cell>
          <cell r="C33" t="str">
            <v>JP Moose Lite Premium</v>
          </cell>
          <cell r="D33" t="str">
            <v>X0017L3Y8V</v>
          </cell>
          <cell r="E33" t="str">
            <v>B0D692M28F</v>
          </cell>
          <cell r="F33" t="str">
            <v>3DMakerpro Moose Lite 3Dスキャナー 3Dプリント用、0.05mm 高精度ハンディ3Dモデルスキャナー、スキャン速度 10FPS、手ブレ補正レンズ、Windows/MacOS対応 (アップグレード版)</v>
          </cell>
          <cell r="G33" t="str">
            <v>New</v>
          </cell>
          <cell r="H33">
            <v>5</v>
          </cell>
          <cell r="I33">
            <v>0</v>
          </cell>
          <cell r="J33">
            <v>0</v>
          </cell>
          <cell r="K33">
            <v>0</v>
          </cell>
          <cell r="L33">
            <v>0</v>
          </cell>
          <cell r="M33">
            <v>0</v>
          </cell>
          <cell r="N33">
            <v>5</v>
          </cell>
          <cell r="O33" t="str">
            <v>JPY</v>
          </cell>
          <cell r="P33">
            <v>0</v>
          </cell>
          <cell r="Q33">
            <v>0</v>
          </cell>
          <cell r="R33">
            <v>0</v>
          </cell>
          <cell r="S33">
            <v>1</v>
          </cell>
          <cell r="T33" t="str">
            <v>Low conversion</v>
          </cell>
          <cell r="U33">
            <v>62618</v>
          </cell>
          <cell r="V33">
            <v>62608</v>
          </cell>
          <cell r="W33">
            <v>62608</v>
          </cell>
          <cell r="X33">
            <v>0</v>
          </cell>
          <cell r="Y33" t="str">
            <v>NoRestockExcessActionRequired</v>
          </cell>
          <cell r="Z33">
            <v>0</v>
          </cell>
          <cell r="AA33">
            <v>0</v>
          </cell>
          <cell r="AB33">
            <v>0</v>
          </cell>
          <cell r="AC33">
            <v>0</v>
          </cell>
          <cell r="AD33">
            <v>190003.53</v>
          </cell>
          <cell r="AE33">
            <v>0.19</v>
          </cell>
          <cell r="AF33">
            <v>0.006709</v>
          </cell>
          <cell r="AG33" t="str">
            <v>cubic meter</v>
          </cell>
          <cell r="AH33" t="str">
            <v>Standard</v>
          </cell>
          <cell r="AI33">
            <v>0.033547</v>
          </cell>
          <cell r="AJ33" t="str">
            <v>JP</v>
          </cell>
          <cell r="AK33" t="str">
            <v>gl_home_improvement</v>
          </cell>
          <cell r="AL33">
            <v>115947</v>
          </cell>
          <cell r="AM33">
            <v>112</v>
          </cell>
          <cell r="AN33">
            <v>5</v>
          </cell>
        </row>
        <row r="33">
          <cell r="AP33">
            <v>65</v>
          </cell>
          <cell r="AQ33">
            <v>56347</v>
          </cell>
          <cell r="AR33">
            <v>0</v>
          </cell>
          <cell r="AS33">
            <v>0</v>
          </cell>
          <cell r="AT33">
            <v>0</v>
          </cell>
          <cell r="AU33">
            <v>56916</v>
          </cell>
          <cell r="AV33">
            <v>0</v>
          </cell>
          <cell r="AW33">
            <v>0</v>
          </cell>
          <cell r="AX33">
            <v>0</v>
          </cell>
          <cell r="AY33">
            <v>0</v>
          </cell>
          <cell r="AZ33">
            <v>0</v>
          </cell>
          <cell r="BA33">
            <v>1307.62</v>
          </cell>
          <cell r="BB33">
            <v>0</v>
          </cell>
          <cell r="BC33">
            <v>0</v>
          </cell>
          <cell r="BD33">
            <v>0</v>
          </cell>
          <cell r="BE33">
            <v>0</v>
          </cell>
          <cell r="BF33">
            <v>0</v>
          </cell>
          <cell r="BG33">
            <v>0</v>
          </cell>
          <cell r="BH33">
            <v>0</v>
          </cell>
          <cell r="BI33">
            <v>0</v>
          </cell>
          <cell r="BJ33">
            <v>0</v>
          </cell>
          <cell r="BK33">
            <v>0</v>
          </cell>
          <cell r="BL33">
            <v>0</v>
          </cell>
          <cell r="BM33">
            <v>0</v>
          </cell>
          <cell r="BN33">
            <v>5</v>
          </cell>
          <cell r="BO33">
            <v>1148</v>
          </cell>
          <cell r="BP33">
            <v>843</v>
          </cell>
          <cell r="BQ33">
            <v>0</v>
          </cell>
        </row>
        <row r="33">
          <cell r="BS33">
            <v>46181</v>
          </cell>
          <cell r="BT33" t="str">
            <v>是</v>
          </cell>
          <cell r="BU33" t="str">
            <v>否</v>
          </cell>
          <cell r="BV33">
            <v>843</v>
          </cell>
          <cell r="BW33">
            <v>403.4</v>
          </cell>
          <cell r="BX33">
            <v>46183</v>
          </cell>
          <cell r="BY33">
            <v>5</v>
          </cell>
          <cell r="BZ33">
            <v>0</v>
          </cell>
          <cell r="CA33">
            <v>0</v>
          </cell>
          <cell r="CB33">
            <v>0</v>
          </cell>
          <cell r="CC33">
            <v>0</v>
          </cell>
          <cell r="CD33">
            <v>112</v>
          </cell>
          <cell r="CE33" t="str">
            <v>--</v>
          </cell>
          <cell r="CF33" t="str">
            <v>N</v>
          </cell>
        </row>
        <row r="34">
          <cell r="A34" t="str">
            <v>X00143ZS13</v>
          </cell>
          <cell r="B34" t="str">
            <v>Amazon JP</v>
          </cell>
          <cell r="C34" t="str">
            <v>Lynx-2</v>
          </cell>
          <cell r="D34" t="str">
            <v>X00143ZS13</v>
          </cell>
          <cell r="E34" t="str">
            <v>B0C5L4BVCY</v>
          </cell>
          <cell r="F34" t="str">
            <v>3DMakerpro Lynx 3Dスキャナー- 0.1 mmの精度と10 FPSのスキャン速度携帯用3Dスキャナー3Dプリントとスマート大規模整列アルゴリズムLynx 3Dスキャナー 家庭用(アップグレード版）)</v>
          </cell>
          <cell r="G34" t="str">
            <v>New</v>
          </cell>
          <cell r="H34">
            <v>7</v>
          </cell>
          <cell r="I34">
            <v>0</v>
          </cell>
          <cell r="J34">
            <v>0</v>
          </cell>
          <cell r="K34">
            <v>0</v>
          </cell>
          <cell r="L34">
            <v>7</v>
          </cell>
          <cell r="M34">
            <v>0</v>
          </cell>
          <cell r="N34">
            <v>0</v>
          </cell>
          <cell r="O34" t="str">
            <v>JPY</v>
          </cell>
          <cell r="P34">
            <v>1</v>
          </cell>
          <cell r="Q34">
            <v>2</v>
          </cell>
          <cell r="R34">
            <v>2</v>
          </cell>
          <cell r="S34">
            <v>2</v>
          </cell>
          <cell r="T34" t="str">
            <v>Low traffic</v>
          </cell>
          <cell r="U34">
            <v>66727</v>
          </cell>
          <cell r="V34">
            <v>0</v>
          </cell>
          <cell r="W34">
            <v>66727</v>
          </cell>
          <cell r="X34">
            <v>0</v>
          </cell>
          <cell r="Y34" t="str">
            <v>NoRestockExcessActionRequired</v>
          </cell>
          <cell r="Z34">
            <v>0</v>
          </cell>
          <cell r="AA34">
            <v>51606.86</v>
          </cell>
          <cell r="AB34">
            <v>52</v>
          </cell>
          <cell r="AC34">
            <v>0</v>
          </cell>
          <cell r="AD34">
            <v>321080.47</v>
          </cell>
          <cell r="AE34">
            <v>0.24</v>
          </cell>
          <cell r="AF34">
            <v>0.015526</v>
          </cell>
          <cell r="AG34" t="str">
            <v>cubic meter</v>
          </cell>
          <cell r="AH34" t="str">
            <v>Standard</v>
          </cell>
          <cell r="AI34">
            <v>0.108683</v>
          </cell>
          <cell r="AJ34" t="str">
            <v>JP</v>
          </cell>
          <cell r="AK34" t="str">
            <v>gl_home_improvement</v>
          </cell>
          <cell r="AL34">
            <v>58314</v>
          </cell>
          <cell r="AM34">
            <v>158</v>
          </cell>
          <cell r="AN34">
            <v>7</v>
          </cell>
          <cell r="AO34">
            <v>14</v>
          </cell>
          <cell r="AP34">
            <v>45</v>
          </cell>
          <cell r="AQ34">
            <v>66727</v>
          </cell>
          <cell r="AR34">
            <v>60661</v>
          </cell>
          <cell r="AS34">
            <v>112043</v>
          </cell>
          <cell r="AT34">
            <v>112043</v>
          </cell>
          <cell r="AU34">
            <v>112043</v>
          </cell>
          <cell r="AV34">
            <v>0</v>
          </cell>
          <cell r="AW34">
            <v>0</v>
          </cell>
          <cell r="AX34">
            <v>0</v>
          </cell>
          <cell r="AY34">
            <v>7</v>
          </cell>
          <cell r="AZ34">
            <v>0</v>
          </cell>
          <cell r="BA34">
            <v>515.19</v>
          </cell>
          <cell r="BB34">
            <v>0</v>
          </cell>
          <cell r="BC34">
            <v>0</v>
          </cell>
          <cell r="BD34">
            <v>0</v>
          </cell>
          <cell r="BE34">
            <v>0</v>
          </cell>
          <cell r="BF34">
            <v>0</v>
          </cell>
          <cell r="BG34">
            <v>0</v>
          </cell>
        </row>
        <row r="34">
          <cell r="BP34">
            <v>1243</v>
          </cell>
          <cell r="BQ34">
            <v>0</v>
          </cell>
        </row>
        <row r="34">
          <cell r="BS34">
            <v>46181</v>
          </cell>
          <cell r="BT34" t="str">
            <v>是</v>
          </cell>
          <cell r="BU34" t="str">
            <v>否</v>
          </cell>
          <cell r="BV34">
            <v>403</v>
          </cell>
          <cell r="BW34">
            <v>1243</v>
          </cell>
          <cell r="BX34">
            <v>46183</v>
          </cell>
          <cell r="BY34">
            <v>7</v>
          </cell>
          <cell r="BZ34">
            <v>0</v>
          </cell>
          <cell r="CA34">
            <v>0</v>
          </cell>
          <cell r="CB34">
            <v>0</v>
          </cell>
          <cell r="CC34">
            <v>0</v>
          </cell>
          <cell r="CD34">
            <v>158</v>
          </cell>
          <cell r="CE34" t="str">
            <v>--</v>
          </cell>
          <cell r="CF34" t="str">
            <v>N</v>
          </cell>
        </row>
        <row r="35">
          <cell r="A35" t="str">
            <v>X0017KIH0R</v>
          </cell>
          <cell r="B35" t="str">
            <v>Amazon JP</v>
          </cell>
          <cell r="C35" t="str">
            <v>Moose  Premium  JP</v>
          </cell>
          <cell r="D35" t="str">
            <v>X0017KIH0R</v>
          </cell>
          <cell r="E35" t="str">
            <v>B0D66BDC7B</v>
          </cell>
          <cell r="F35" t="str">
            <v>3DMakerpro Moose 3Dスキャナー 3Dプリント用、0.03mm 高精度ハンディ3Dモデルスキャナー、24ビットカラーカメラ、手ブレ補正レンズ、Windows/MacOS対応 (アップグレード版)</v>
          </cell>
          <cell r="G35" t="str">
            <v>New</v>
          </cell>
          <cell r="H35">
            <v>41</v>
          </cell>
          <cell r="I35">
            <v>0</v>
          </cell>
          <cell r="J35">
            <v>41</v>
          </cell>
          <cell r="K35">
            <v>0</v>
          </cell>
          <cell r="L35">
            <v>0</v>
          </cell>
          <cell r="M35">
            <v>0</v>
          </cell>
          <cell r="N35">
            <v>0</v>
          </cell>
          <cell r="O35" t="str">
            <v>JPY</v>
          </cell>
          <cell r="P35">
            <v>0</v>
          </cell>
          <cell r="Q35">
            <v>0</v>
          </cell>
          <cell r="R35">
            <v>1</v>
          </cell>
          <cell r="S35">
            <v>1</v>
          </cell>
        </row>
        <row r="35">
          <cell r="U35">
            <v>103528</v>
          </cell>
          <cell r="V35">
            <v>0</v>
          </cell>
          <cell r="W35">
            <v>86057</v>
          </cell>
          <cell r="X35">
            <v>0</v>
          </cell>
          <cell r="Y35" t="str">
            <v>编辑商品信息</v>
          </cell>
          <cell r="Z35">
            <v>0</v>
          </cell>
          <cell r="AA35">
            <v>0</v>
          </cell>
          <cell r="AB35">
            <v>0</v>
          </cell>
          <cell r="AC35">
            <v>0</v>
          </cell>
          <cell r="AD35">
            <v>2172706.74</v>
          </cell>
          <cell r="AE35">
            <v>0.05</v>
          </cell>
          <cell r="AF35">
            <v>0.006639</v>
          </cell>
          <cell r="AG35" t="str">
            <v>cubic meter</v>
          </cell>
          <cell r="AH35" t="str">
            <v>Standard</v>
          </cell>
          <cell r="AI35">
            <v>0.272214</v>
          </cell>
          <cell r="AJ35" t="str">
            <v>JP</v>
          </cell>
          <cell r="AK35" t="str">
            <v>gl_home_improvement</v>
          </cell>
          <cell r="AL35">
            <v>115001</v>
          </cell>
          <cell r="AM35">
            <v>366</v>
          </cell>
          <cell r="AN35">
            <v>0</v>
          </cell>
        </row>
        <row r="35">
          <cell r="AP35">
            <v>533</v>
          </cell>
          <cell r="AQ35">
            <v>103528</v>
          </cell>
          <cell r="AR35">
            <v>0</v>
          </cell>
          <cell r="AS35">
            <v>0</v>
          </cell>
          <cell r="AT35">
            <v>94116</v>
          </cell>
          <cell r="AU35">
            <v>94116</v>
          </cell>
          <cell r="AV35">
            <v>0</v>
          </cell>
          <cell r="AW35">
            <v>41</v>
          </cell>
          <cell r="AX35">
            <v>0</v>
          </cell>
          <cell r="AY35">
            <v>0</v>
          </cell>
          <cell r="AZ35">
            <v>0</v>
          </cell>
          <cell r="BA35">
            <v>1290.39</v>
          </cell>
          <cell r="BB35">
            <v>0</v>
          </cell>
          <cell r="BC35">
            <v>0</v>
          </cell>
          <cell r="BD35">
            <v>0</v>
          </cell>
          <cell r="BE35">
            <v>0</v>
          </cell>
          <cell r="BF35">
            <v>0</v>
          </cell>
          <cell r="BG35">
            <v>0</v>
          </cell>
        </row>
        <row r="35">
          <cell r="BP35">
            <v>1448.5</v>
          </cell>
          <cell r="BQ35">
            <v>0</v>
          </cell>
        </row>
        <row r="35">
          <cell r="BS35">
            <v>46181</v>
          </cell>
          <cell r="BT35" t="str">
            <v>是</v>
          </cell>
          <cell r="BU35" t="str">
            <v>否</v>
          </cell>
          <cell r="BV35">
            <v>1448.5</v>
          </cell>
          <cell r="BW35">
            <v>1281.2</v>
          </cell>
          <cell r="BX35">
            <v>46183</v>
          </cell>
          <cell r="BY35">
            <v>41</v>
          </cell>
          <cell r="BZ35">
            <v>0</v>
          </cell>
          <cell r="CA35">
            <v>0</v>
          </cell>
          <cell r="CB35">
            <v>0</v>
          </cell>
          <cell r="CC35">
            <v>0</v>
          </cell>
          <cell r="CD35">
            <v>366</v>
          </cell>
          <cell r="CE35" t="str">
            <v>--</v>
          </cell>
          <cell r="CF35" t="str">
            <v>N</v>
          </cell>
        </row>
        <row r="36">
          <cell r="A36" t="str">
            <v>X0017L3Y95</v>
          </cell>
          <cell r="B36" t="str">
            <v>Amazon JP</v>
          </cell>
          <cell r="C36" t="str">
            <v>JP Moose Lite Standard</v>
          </cell>
          <cell r="D36" t="str">
            <v>X0017L3Y95</v>
          </cell>
          <cell r="E36" t="str">
            <v>B0D69M6MNB</v>
          </cell>
          <cell r="F36" t="str">
            <v>3DMakerpro Moose Lite 3Dスキャナー 3Dプリント用、0.05mm 高精度ハンディ3Dモデルスキャナー、スキャン速度 10FPS、手ブレ補正レンズ、Windows/MacOS対応 (標準版)</v>
          </cell>
          <cell r="G36" t="str">
            <v>New</v>
          </cell>
          <cell r="H36">
            <v>22</v>
          </cell>
          <cell r="I36">
            <v>0</v>
          </cell>
          <cell r="J36">
            <v>20</v>
          </cell>
          <cell r="K36">
            <v>0</v>
          </cell>
          <cell r="L36">
            <v>0</v>
          </cell>
          <cell r="M36">
            <v>0</v>
          </cell>
          <cell r="N36">
            <v>3</v>
          </cell>
          <cell r="O36" t="str">
            <v>JPY</v>
          </cell>
          <cell r="P36">
            <v>1</v>
          </cell>
          <cell r="Q36">
            <v>1</v>
          </cell>
          <cell r="R36">
            <v>4</v>
          </cell>
          <cell r="S36">
            <v>4</v>
          </cell>
          <cell r="T36" t="str">
            <v>Low conversion</v>
          </cell>
          <cell r="U36">
            <v>54760</v>
          </cell>
          <cell r="V36">
            <v>54760</v>
          </cell>
          <cell r="W36">
            <v>54760</v>
          </cell>
          <cell r="X36">
            <v>0</v>
          </cell>
          <cell r="Y36" t="str">
            <v>降低商品价格</v>
          </cell>
          <cell r="Z36">
            <v>0</v>
          </cell>
          <cell r="AA36">
            <v>0</v>
          </cell>
          <cell r="AB36">
            <v>0</v>
          </cell>
          <cell r="AC36">
            <v>0</v>
          </cell>
          <cell r="AD36">
            <v>449375.94</v>
          </cell>
          <cell r="AE36">
            <v>0.18</v>
          </cell>
          <cell r="AF36">
            <v>0.001768</v>
          </cell>
          <cell r="AG36" t="str">
            <v>cubic meter</v>
          </cell>
          <cell r="AH36" t="str">
            <v>Standard</v>
          </cell>
          <cell r="AI36">
            <v>0.038895</v>
          </cell>
          <cell r="AJ36" t="str">
            <v>JP</v>
          </cell>
          <cell r="AK36" t="str">
            <v>gl_home_improvement</v>
          </cell>
          <cell r="AL36">
            <v>115947</v>
          </cell>
          <cell r="AM36">
            <v>366</v>
          </cell>
          <cell r="AN36">
            <v>22</v>
          </cell>
          <cell r="AO36">
            <v>88</v>
          </cell>
          <cell r="AP36">
            <v>71</v>
          </cell>
          <cell r="AQ36">
            <v>49283</v>
          </cell>
          <cell r="AR36">
            <v>44803</v>
          </cell>
          <cell r="AS36">
            <v>44803</v>
          </cell>
          <cell r="AT36">
            <v>184193</v>
          </cell>
          <cell r="AU36">
            <v>184193</v>
          </cell>
          <cell r="AV36">
            <v>0</v>
          </cell>
          <cell r="AW36">
            <v>20</v>
          </cell>
          <cell r="AX36">
            <v>0</v>
          </cell>
          <cell r="AY36">
            <v>0</v>
          </cell>
          <cell r="AZ36">
            <v>0</v>
          </cell>
          <cell r="BA36">
            <v>305.44</v>
          </cell>
          <cell r="BB36">
            <v>0</v>
          </cell>
          <cell r="BC36">
            <v>0</v>
          </cell>
          <cell r="BD36">
            <v>0</v>
          </cell>
          <cell r="BE36">
            <v>0</v>
          </cell>
          <cell r="BF36">
            <v>0</v>
          </cell>
          <cell r="BG36">
            <v>0</v>
          </cell>
          <cell r="BH36">
            <v>0</v>
          </cell>
          <cell r="BI36">
            <v>0</v>
          </cell>
          <cell r="BJ36">
            <v>0</v>
          </cell>
          <cell r="BK36">
            <v>0</v>
          </cell>
          <cell r="BL36">
            <v>0</v>
          </cell>
          <cell r="BM36">
            <v>0</v>
          </cell>
          <cell r="BN36">
            <v>3</v>
          </cell>
          <cell r="BO36">
            <v>182</v>
          </cell>
          <cell r="BP36">
            <v>843</v>
          </cell>
          <cell r="BQ36">
            <v>0</v>
          </cell>
        </row>
        <row r="36">
          <cell r="BS36">
            <v>46181</v>
          </cell>
          <cell r="BT36" t="str">
            <v>是</v>
          </cell>
          <cell r="BU36" t="str">
            <v>否</v>
          </cell>
          <cell r="BV36">
            <v>843</v>
          </cell>
          <cell r="BW36">
            <v>403.4</v>
          </cell>
          <cell r="BX36">
            <v>46183</v>
          </cell>
          <cell r="BY36">
            <v>22</v>
          </cell>
          <cell r="BZ36">
            <v>0</v>
          </cell>
          <cell r="CA36">
            <v>0</v>
          </cell>
          <cell r="CB36">
            <v>0</v>
          </cell>
          <cell r="CC36">
            <v>0</v>
          </cell>
          <cell r="CD36">
            <v>366</v>
          </cell>
          <cell r="CE36" t="str">
            <v>--</v>
          </cell>
          <cell r="CF36" t="str">
            <v>N</v>
          </cell>
        </row>
        <row r="37">
          <cell r="A37" t="str">
            <v>X0014QSBDR</v>
          </cell>
          <cell r="B37" t="str">
            <v>Amazon JP</v>
          </cell>
          <cell r="C37" t="str">
            <v>mole6-6</v>
          </cell>
          <cell r="D37" t="str">
            <v>X0014QSBDR</v>
          </cell>
          <cell r="E37" t="str">
            <v>B0CCVB785Y</v>
          </cell>
          <cell r="F37" t="str">
            <v>3DMakerpro Mole(モール) ホワイトーライト3Dスキャナー 0.05mm超高精度 10fps 3Dモデリング 業務レベル リバースエンジニアリング 3Dプリント 3Dデザイン VR/ARコンテンツ製作 3Dアニメーション 模型製作 (標準版)</v>
          </cell>
          <cell r="G37" t="str">
            <v>New</v>
          </cell>
          <cell r="H37">
            <v>4</v>
          </cell>
          <cell r="I37">
            <v>0</v>
          </cell>
          <cell r="J37">
            <v>0</v>
          </cell>
          <cell r="K37">
            <v>0</v>
          </cell>
          <cell r="L37">
            <v>0</v>
          </cell>
          <cell r="M37">
            <v>0</v>
          </cell>
          <cell r="N37">
            <v>4</v>
          </cell>
          <cell r="O37" t="str">
            <v>JPY</v>
          </cell>
        </row>
        <row r="37">
          <cell r="U37">
            <v>0</v>
          </cell>
          <cell r="V37">
            <v>0</v>
          </cell>
          <cell r="W37">
            <v>0</v>
          </cell>
          <cell r="X37">
            <v>0</v>
          </cell>
          <cell r="Y37" t="str">
            <v>创建移除订单</v>
          </cell>
        </row>
        <row r="37">
          <cell r="AB37">
            <v>0</v>
          </cell>
          <cell r="AC37">
            <v>0</v>
          </cell>
        </row>
        <row r="37">
          <cell r="AE37">
            <v>0</v>
          </cell>
          <cell r="AF37">
            <v>0.011269</v>
          </cell>
          <cell r="AG37" t="str">
            <v>cubic meter</v>
          </cell>
          <cell r="AH37" t="str">
            <v>Standard</v>
          </cell>
          <cell r="AI37">
            <v>0.045078</v>
          </cell>
          <cell r="AJ37" t="str">
            <v>JP</v>
          </cell>
          <cell r="AK37" t="str">
            <v>gl_home_improvement</v>
          </cell>
          <cell r="AL37">
            <v>239431</v>
          </cell>
          <cell r="AM37">
            <v>366</v>
          </cell>
          <cell r="AN37">
            <v>0</v>
          </cell>
        </row>
        <row r="37">
          <cell r="AQ37">
            <v>102563</v>
          </cell>
        </row>
        <row r="37">
          <cell r="AV37">
            <v>0</v>
          </cell>
          <cell r="AW37">
            <v>0</v>
          </cell>
          <cell r="AX37">
            <v>0</v>
          </cell>
          <cell r="AY37">
            <v>0</v>
          </cell>
          <cell r="AZ37">
            <v>0</v>
          </cell>
        </row>
        <row r="37">
          <cell r="BB37">
            <v>0</v>
          </cell>
          <cell r="BC37">
            <v>0</v>
          </cell>
          <cell r="BD37">
            <v>0</v>
          </cell>
          <cell r="BE37">
            <v>0</v>
          </cell>
          <cell r="BF37">
            <v>0</v>
          </cell>
          <cell r="BG37">
            <v>0</v>
          </cell>
          <cell r="BH37">
            <v>0</v>
          </cell>
          <cell r="BI37">
            <v>0</v>
          </cell>
          <cell r="BJ37">
            <v>0</v>
          </cell>
          <cell r="BK37">
            <v>0</v>
          </cell>
          <cell r="BL37">
            <v>0</v>
          </cell>
          <cell r="BM37">
            <v>0</v>
          </cell>
          <cell r="BN37">
            <v>4</v>
          </cell>
          <cell r="BO37">
            <v>1543</v>
          </cell>
        </row>
        <row r="37">
          <cell r="BQ37">
            <v>0</v>
          </cell>
        </row>
        <row r="37">
          <cell r="BX37">
            <v>46183</v>
          </cell>
          <cell r="BY37">
            <v>4</v>
          </cell>
          <cell r="BZ37">
            <v>0</v>
          </cell>
          <cell r="CA37">
            <v>0</v>
          </cell>
          <cell r="CB37">
            <v>0</v>
          </cell>
          <cell r="CC37">
            <v>0</v>
          </cell>
          <cell r="CD37">
            <v>366</v>
          </cell>
          <cell r="CE37" t="str">
            <v>--</v>
          </cell>
          <cell r="CF37" t="str">
            <v>N</v>
          </cell>
        </row>
        <row r="38">
          <cell r="A38" t="str">
            <v>X001BZ0QW5</v>
          </cell>
          <cell r="B38" t="str">
            <v>Amazon JP</v>
          </cell>
          <cell r="C38" t="str">
            <v>JL-UP0V-ZJHC</v>
          </cell>
          <cell r="D38" t="str">
            <v>X001BZ0QW5</v>
          </cell>
          <cell r="E38" t="str">
            <v>B0G1BRFLJP</v>
          </cell>
          <cell r="F38" t="str">
            <v>3DMakerpro Magic Swift Plus 3Dスキャナー ハンドヘルドスキャナー 解像度0.25mm 10FPS 超軽量 PC対応 赤外線 カラーバージョン</v>
          </cell>
          <cell r="G38" t="str">
            <v>New</v>
          </cell>
          <cell r="H38">
            <v>12</v>
          </cell>
          <cell r="I38">
            <v>0</v>
          </cell>
          <cell r="J38">
            <v>0</v>
          </cell>
          <cell r="K38">
            <v>0</v>
          </cell>
          <cell r="L38">
            <v>12</v>
          </cell>
          <cell r="M38">
            <v>0</v>
          </cell>
          <cell r="N38">
            <v>0</v>
          </cell>
          <cell r="O38" t="str">
            <v>JPY</v>
          </cell>
          <cell r="P38">
            <v>0</v>
          </cell>
          <cell r="Q38">
            <v>0</v>
          </cell>
          <cell r="R38">
            <v>0</v>
          </cell>
          <cell r="S38">
            <v>0</v>
          </cell>
          <cell r="T38" t="str">
            <v>Low traffic</v>
          </cell>
          <cell r="U38">
            <v>124171</v>
          </cell>
          <cell r="V38">
            <v>0</v>
          </cell>
          <cell r="W38">
            <v>124171</v>
          </cell>
          <cell r="X38">
            <v>0</v>
          </cell>
          <cell r="Y38" t="str">
            <v>创建移除订单</v>
          </cell>
          <cell r="Z38">
            <v>0</v>
          </cell>
          <cell r="AA38">
            <v>0</v>
          </cell>
          <cell r="AB38">
            <v>0</v>
          </cell>
          <cell r="AC38">
            <v>0</v>
          </cell>
          <cell r="AD38">
            <v>1067838.04</v>
          </cell>
          <cell r="AE38">
            <v>0</v>
          </cell>
          <cell r="AF38">
            <v>0.017</v>
          </cell>
          <cell r="AG38" t="str">
            <v>cubic meter</v>
          </cell>
          <cell r="AH38" t="str">
            <v>Oversize</v>
          </cell>
          <cell r="AI38">
            <v>0.204001</v>
          </cell>
          <cell r="AJ38" t="str">
            <v>JP</v>
          </cell>
          <cell r="AK38" t="str">
            <v>gl_home_improvement</v>
          </cell>
        </row>
        <row r="38">
          <cell r="AM38">
            <v>366</v>
          </cell>
          <cell r="AN38">
            <v>12</v>
          </cell>
        </row>
        <row r="38">
          <cell r="AQ38">
            <v>124171</v>
          </cell>
          <cell r="AR38">
            <v>0</v>
          </cell>
          <cell r="AS38">
            <v>0</v>
          </cell>
          <cell r="AT38">
            <v>0</v>
          </cell>
          <cell r="AU38">
            <v>0</v>
          </cell>
          <cell r="AV38">
            <v>0</v>
          </cell>
          <cell r="AW38">
            <v>0</v>
          </cell>
          <cell r="AX38">
            <v>0</v>
          </cell>
          <cell r="AY38">
            <v>12</v>
          </cell>
          <cell r="AZ38">
            <v>0</v>
          </cell>
          <cell r="BA38">
            <v>558.48</v>
          </cell>
          <cell r="BB38">
            <v>0</v>
          </cell>
          <cell r="BC38">
            <v>0</v>
          </cell>
          <cell r="BD38">
            <v>0</v>
          </cell>
          <cell r="BE38">
            <v>0</v>
          </cell>
          <cell r="BF38">
            <v>0</v>
          </cell>
          <cell r="BG38">
            <v>0</v>
          </cell>
        </row>
        <row r="38">
          <cell r="BQ38">
            <v>0</v>
          </cell>
        </row>
        <row r="38">
          <cell r="BX38">
            <v>46183</v>
          </cell>
          <cell r="BY38">
            <v>12</v>
          </cell>
          <cell r="BZ38">
            <v>0</v>
          </cell>
          <cell r="CA38">
            <v>0</v>
          </cell>
          <cell r="CB38">
            <v>0</v>
          </cell>
          <cell r="CC38">
            <v>0</v>
          </cell>
          <cell r="CD38">
            <v>366</v>
          </cell>
          <cell r="CE38" t="str">
            <v>--</v>
          </cell>
          <cell r="CF38" t="str">
            <v>N</v>
          </cell>
        </row>
        <row r="39">
          <cell r="A39" t="str">
            <v>X001BYH4P3</v>
          </cell>
          <cell r="B39" t="str">
            <v>Amazon JP</v>
          </cell>
          <cell r="C39" t="str">
            <v>EN-U0RB-8XNV</v>
          </cell>
          <cell r="D39" t="str">
            <v>X001BYH4P3</v>
          </cell>
          <cell r="E39" t="str">
            <v>B0G13VQKCF</v>
          </cell>
          <cell r="F39" t="str">
            <v>3DMakerpro ハンディタイプ3Dスキャナー Mole - 3Dプリンティング向け、測定精度0.05mm、解像度0.1mm、スキャン速度10fps、手ぶれ補正レンズ搭載 (標準版)</v>
          </cell>
          <cell r="G39" t="str">
            <v>New</v>
          </cell>
          <cell r="H39">
            <v>17</v>
          </cell>
          <cell r="I39">
            <v>0</v>
          </cell>
          <cell r="J39">
            <v>0</v>
          </cell>
          <cell r="K39">
            <v>0</v>
          </cell>
          <cell r="L39">
            <v>17</v>
          </cell>
          <cell r="M39">
            <v>0</v>
          </cell>
          <cell r="N39">
            <v>0</v>
          </cell>
          <cell r="O39" t="str">
            <v>JPY</v>
          </cell>
        </row>
        <row r="39">
          <cell r="T39" t="str">
            <v>Low traffic</v>
          </cell>
          <cell r="U39">
            <v>111300</v>
          </cell>
          <cell r="V39">
            <v>0</v>
          </cell>
          <cell r="W39">
            <v>111300</v>
          </cell>
          <cell r="X39">
            <v>0</v>
          </cell>
          <cell r="Y39" t="str">
            <v>创建移除订单</v>
          </cell>
          <cell r="Z39">
            <v>0</v>
          </cell>
          <cell r="AA39">
            <v>0</v>
          </cell>
          <cell r="AB39">
            <v>0</v>
          </cell>
          <cell r="AC39">
            <v>0</v>
          </cell>
          <cell r="AD39">
            <v>366298.54</v>
          </cell>
          <cell r="AE39">
            <v>0</v>
          </cell>
          <cell r="AF39">
            <v>0.012992</v>
          </cell>
          <cell r="AG39" t="str">
            <v>cubic meter</v>
          </cell>
          <cell r="AH39" t="str">
            <v>Standard</v>
          </cell>
          <cell r="AI39">
            <v>0.220864</v>
          </cell>
          <cell r="AJ39" t="str">
            <v>JP</v>
          </cell>
          <cell r="AK39" t="str">
            <v>gl_pc</v>
          </cell>
        </row>
        <row r="39">
          <cell r="AN39">
            <v>17</v>
          </cell>
        </row>
        <row r="39">
          <cell r="AQ39">
            <v>55650</v>
          </cell>
        </row>
        <row r="39">
          <cell r="AV39">
            <v>0</v>
          </cell>
          <cell r="AW39">
            <v>0</v>
          </cell>
          <cell r="AX39">
            <v>0</v>
          </cell>
          <cell r="AY39">
            <v>17</v>
          </cell>
          <cell r="AZ39">
            <v>0</v>
          </cell>
          <cell r="BA39">
            <v>1046.97</v>
          </cell>
          <cell r="BB39">
            <v>0</v>
          </cell>
          <cell r="BC39">
            <v>0</v>
          </cell>
          <cell r="BD39">
            <v>0</v>
          </cell>
          <cell r="BE39">
            <v>0</v>
          </cell>
          <cell r="BF39">
            <v>0</v>
          </cell>
          <cell r="BG39">
            <v>0</v>
          </cell>
        </row>
        <row r="39">
          <cell r="BQ39">
            <v>0</v>
          </cell>
        </row>
        <row r="39">
          <cell r="BX39">
            <v>46183</v>
          </cell>
          <cell r="BY39">
            <v>17</v>
          </cell>
          <cell r="BZ39">
            <v>0</v>
          </cell>
          <cell r="CA39">
            <v>0</v>
          </cell>
          <cell r="CB39">
            <v>0</v>
          </cell>
          <cell r="CC39">
            <v>0</v>
          </cell>
        </row>
        <row r="39">
          <cell r="CE39" t="str">
            <v>--</v>
          </cell>
          <cell r="CF39" t="str">
            <v>N</v>
          </cell>
        </row>
        <row r="40">
          <cell r="A40" t="str">
            <v>X001BYN2W7</v>
          </cell>
          <cell r="B40" t="str">
            <v>Amazon JP</v>
          </cell>
          <cell r="C40" t="str">
            <v>73-XE0V-6AUE</v>
          </cell>
          <cell r="D40" t="str">
            <v>X001BYN2W7</v>
          </cell>
          <cell r="E40" t="str">
            <v>B0G13Z87L7</v>
          </cell>
          <cell r="F40" t="str">
            <v>3DMakerpro ハンディタイプ3Dスキャナー Mole - 3Dプリンティング向け、測定精度0.05mm、解像度0.1mm、スキャン速度10fps、手ぶれ補正レンズ搭載 (アップグレード版)</v>
          </cell>
          <cell r="G40" t="str">
            <v>New</v>
          </cell>
          <cell r="H40">
            <v>15</v>
          </cell>
          <cell r="I40">
            <v>0</v>
          </cell>
          <cell r="J40">
            <v>0</v>
          </cell>
          <cell r="K40">
            <v>0</v>
          </cell>
          <cell r="L40">
            <v>15</v>
          </cell>
          <cell r="M40">
            <v>0</v>
          </cell>
          <cell r="N40">
            <v>0</v>
          </cell>
          <cell r="O40" t="str">
            <v>JPY</v>
          </cell>
        </row>
        <row r="40">
          <cell r="T40" t="str">
            <v>Low traffic</v>
          </cell>
          <cell r="U40">
            <v>128550</v>
          </cell>
          <cell r="V40">
            <v>0</v>
          </cell>
          <cell r="W40">
            <v>128550</v>
          </cell>
          <cell r="X40">
            <v>0</v>
          </cell>
          <cell r="Y40" t="str">
            <v>创建移除订单</v>
          </cell>
          <cell r="Z40">
            <v>0</v>
          </cell>
          <cell r="AA40">
            <v>0</v>
          </cell>
          <cell r="AB40">
            <v>0</v>
          </cell>
          <cell r="AC40">
            <v>0</v>
          </cell>
          <cell r="AD40">
            <v>335963.88</v>
          </cell>
          <cell r="AE40">
            <v>0</v>
          </cell>
          <cell r="AF40">
            <v>0.012992</v>
          </cell>
          <cell r="AG40" t="str">
            <v>cubic meter</v>
          </cell>
          <cell r="AH40" t="str">
            <v>Standard</v>
          </cell>
          <cell r="AI40">
            <v>0.19488</v>
          </cell>
          <cell r="AJ40" t="str">
            <v>JP</v>
          </cell>
          <cell r="AK40" t="str">
            <v>gl_pc</v>
          </cell>
        </row>
        <row r="40">
          <cell r="AN40">
            <v>15</v>
          </cell>
        </row>
        <row r="40">
          <cell r="AQ40">
            <v>128550</v>
          </cell>
        </row>
        <row r="40">
          <cell r="AV40">
            <v>0</v>
          </cell>
          <cell r="AW40">
            <v>0</v>
          </cell>
          <cell r="AX40">
            <v>0</v>
          </cell>
          <cell r="AY40">
            <v>15</v>
          </cell>
          <cell r="AZ40">
            <v>0</v>
          </cell>
          <cell r="BA40">
            <v>923.8</v>
          </cell>
          <cell r="BB40">
            <v>0</v>
          </cell>
          <cell r="BC40">
            <v>0</v>
          </cell>
          <cell r="BD40">
            <v>0</v>
          </cell>
          <cell r="BE40">
            <v>0</v>
          </cell>
          <cell r="BF40">
            <v>0</v>
          </cell>
          <cell r="BG40">
            <v>0</v>
          </cell>
        </row>
        <row r="40">
          <cell r="BQ40">
            <v>0</v>
          </cell>
        </row>
        <row r="40">
          <cell r="BX40">
            <v>46183</v>
          </cell>
          <cell r="BY40">
            <v>15</v>
          </cell>
          <cell r="BZ40">
            <v>0</v>
          </cell>
          <cell r="CA40">
            <v>0</v>
          </cell>
          <cell r="CB40">
            <v>0</v>
          </cell>
          <cell r="CC40">
            <v>0</v>
          </cell>
        </row>
        <row r="40">
          <cell r="CE40" t="str">
            <v>--</v>
          </cell>
          <cell r="CF40" t="str">
            <v>N</v>
          </cell>
        </row>
        <row r="41">
          <cell r="A41" t="str">
            <v>X001ALT1IZ</v>
          </cell>
          <cell r="B41" t="str">
            <v>Amazon JP</v>
          </cell>
          <cell r="C41" t="str">
            <v>X4-IYU8-GMNI</v>
          </cell>
          <cell r="D41" t="str">
            <v>X001ALT1IZ</v>
          </cell>
          <cell r="E41" t="str">
            <v>B0F9WJMRWJ</v>
          </cell>
          <cell r="F41" t="str">
            <v>3DMakerpro Moose Lite 3dスキャナー 3Dプリント用、0.05mm 高精度ハンディ3Dモデルスキャナー、スキャン速度 10FPS、手ブレ補正レンズ、Windows/MacOS対応 (アップグレード版)</v>
          </cell>
          <cell r="G41" t="str">
            <v>New</v>
          </cell>
          <cell r="H41">
            <v>25</v>
          </cell>
          <cell r="I41">
            <v>0</v>
          </cell>
          <cell r="J41">
            <v>18</v>
          </cell>
          <cell r="K41">
            <v>0</v>
          </cell>
          <cell r="L41">
            <v>0</v>
          </cell>
          <cell r="M41">
            <v>0</v>
          </cell>
          <cell r="N41">
            <v>7</v>
          </cell>
          <cell r="O41" t="str">
            <v>JPY</v>
          </cell>
          <cell r="P41">
            <v>0</v>
          </cell>
          <cell r="Q41">
            <v>2</v>
          </cell>
          <cell r="R41">
            <v>6</v>
          </cell>
          <cell r="S41">
            <v>16</v>
          </cell>
        </row>
        <row r="41">
          <cell r="U41">
            <v>66521</v>
          </cell>
          <cell r="V41">
            <v>0</v>
          </cell>
          <cell r="W41">
            <v>66521</v>
          </cell>
          <cell r="X41">
            <v>0</v>
          </cell>
          <cell r="Y41" t="str">
            <v>NoRestockExcessActionRequired</v>
          </cell>
          <cell r="Z41">
            <v>25</v>
          </cell>
          <cell r="AA41">
            <v>0</v>
          </cell>
          <cell r="AB41">
            <v>0</v>
          </cell>
          <cell r="AC41">
            <v>0</v>
          </cell>
          <cell r="AD41">
            <v>0</v>
          </cell>
          <cell r="AE41">
            <v>0.73</v>
          </cell>
          <cell r="AF41">
            <v>0.0069</v>
          </cell>
          <cell r="AG41" t="str">
            <v>cubic meter</v>
          </cell>
          <cell r="AH41" t="str">
            <v>Standard</v>
          </cell>
          <cell r="AI41">
            <v>0.172495</v>
          </cell>
          <cell r="AJ41" t="str">
            <v>JP</v>
          </cell>
          <cell r="AK41" t="str">
            <v>gl_home_improvement</v>
          </cell>
          <cell r="AL41">
            <v>87561</v>
          </cell>
          <cell r="AM41">
            <v>118</v>
          </cell>
          <cell r="AN41">
            <v>0</v>
          </cell>
          <cell r="AO41">
            <v>50</v>
          </cell>
          <cell r="AP41">
            <v>20</v>
          </cell>
          <cell r="AQ41">
            <v>66521</v>
          </cell>
          <cell r="AR41">
            <v>0</v>
          </cell>
          <cell r="AS41">
            <v>111876</v>
          </cell>
          <cell r="AT41">
            <v>344700</v>
          </cell>
          <cell r="AU41">
            <v>868518</v>
          </cell>
          <cell r="AV41">
            <v>0</v>
          </cell>
          <cell r="AW41">
            <v>18</v>
          </cell>
          <cell r="AX41">
            <v>0</v>
          </cell>
          <cell r="AY41">
            <v>0</v>
          </cell>
          <cell r="AZ41">
            <v>0</v>
          </cell>
          <cell r="BA41">
            <v>2437.67</v>
          </cell>
          <cell r="BB41">
            <v>0</v>
          </cell>
          <cell r="BC41">
            <v>0</v>
          </cell>
          <cell r="BD41">
            <v>0</v>
          </cell>
          <cell r="BE41">
            <v>0</v>
          </cell>
          <cell r="BF41">
            <v>0</v>
          </cell>
          <cell r="BG41">
            <v>0</v>
          </cell>
          <cell r="BH41">
            <v>0</v>
          </cell>
          <cell r="BI41">
            <v>0</v>
          </cell>
          <cell r="BJ41">
            <v>0</v>
          </cell>
          <cell r="BK41">
            <v>0</v>
          </cell>
          <cell r="BL41">
            <v>0</v>
          </cell>
          <cell r="BM41">
            <v>0</v>
          </cell>
          <cell r="BN41">
            <v>7</v>
          </cell>
          <cell r="BO41">
            <v>1653</v>
          </cell>
          <cell r="BP41">
            <v>351.7</v>
          </cell>
          <cell r="BQ41">
            <v>0</v>
          </cell>
        </row>
        <row r="41">
          <cell r="BS41">
            <v>46181</v>
          </cell>
          <cell r="BT41" t="str">
            <v>是</v>
          </cell>
          <cell r="BU41" t="str">
            <v>否</v>
          </cell>
          <cell r="BV41">
            <v>351.7</v>
          </cell>
          <cell r="BW41">
            <v>177.4</v>
          </cell>
          <cell r="BX41">
            <v>46183</v>
          </cell>
          <cell r="BY41">
            <v>25</v>
          </cell>
          <cell r="BZ41">
            <v>0</v>
          </cell>
          <cell r="CA41">
            <v>0</v>
          </cell>
          <cell r="CB41">
            <v>0</v>
          </cell>
          <cell r="CC41">
            <v>0</v>
          </cell>
          <cell r="CD41">
            <v>118</v>
          </cell>
          <cell r="CE41" t="str">
            <v>--</v>
          </cell>
          <cell r="CF41" t="str">
            <v>N</v>
          </cell>
        </row>
        <row r="42">
          <cell r="A42" t="str">
            <v>X001BHHB35</v>
          </cell>
          <cell r="B42" t="str">
            <v>Amazon JP</v>
          </cell>
          <cell r="C42" t="str">
            <v>seal lite-Premium-jp-3</v>
          </cell>
          <cell r="D42" t="str">
            <v>X001BHHB35</v>
          </cell>
          <cell r="E42" t="str">
            <v>B0FQ5MSNBR</v>
          </cell>
          <cell r="F42" t="str">
            <v>3DMakerproハンディヘルド3Dスキャナー3Dプリント用Seal Lite、0.02mmの高精度詳細再現、10FPSの超高速スキャンと手ぶれ補正レンズ搭載、Windows/MacOS対応3Dモデルスキャナー（アップグレード版）</v>
          </cell>
          <cell r="G42" t="str">
            <v>New</v>
          </cell>
          <cell r="H42">
            <v>5</v>
          </cell>
          <cell r="I42">
            <v>0</v>
          </cell>
          <cell r="J42">
            <v>5</v>
          </cell>
          <cell r="K42">
            <v>0</v>
          </cell>
          <cell r="L42">
            <v>0</v>
          </cell>
          <cell r="M42">
            <v>0</v>
          </cell>
          <cell r="N42">
            <v>0</v>
          </cell>
          <cell r="O42" t="str">
            <v>JPY</v>
          </cell>
          <cell r="P42">
            <v>5</v>
          </cell>
          <cell r="Q42">
            <v>9</v>
          </cell>
          <cell r="R42">
            <v>17</v>
          </cell>
          <cell r="S42">
            <v>23</v>
          </cell>
        </row>
        <row r="42">
          <cell r="U42">
            <v>57520</v>
          </cell>
          <cell r="V42">
            <v>0</v>
          </cell>
          <cell r="W42">
            <v>57520</v>
          </cell>
          <cell r="X42">
            <v>0</v>
          </cell>
          <cell r="Y42" t="str">
            <v>CreateShippingPlan</v>
          </cell>
          <cell r="Z42">
            <v>5</v>
          </cell>
          <cell r="AA42">
            <v>0</v>
          </cell>
          <cell r="AB42">
            <v>0</v>
          </cell>
          <cell r="AC42">
            <v>0</v>
          </cell>
          <cell r="AD42">
            <v>0</v>
          </cell>
          <cell r="AE42">
            <v>1.61</v>
          </cell>
          <cell r="AF42">
            <v>0.00676</v>
          </cell>
          <cell r="AG42" t="str">
            <v>cubic meter</v>
          </cell>
          <cell r="AH42" t="str">
            <v>Standard</v>
          </cell>
          <cell r="AI42">
            <v>0.033801</v>
          </cell>
          <cell r="AJ42" t="str">
            <v>JP</v>
          </cell>
          <cell r="AK42" t="str">
            <v>gl_home_improvement</v>
          </cell>
          <cell r="AL42">
            <v>44217</v>
          </cell>
          <cell r="AM42">
            <v>8</v>
          </cell>
          <cell r="AN42">
            <v>0</v>
          </cell>
          <cell r="AO42">
            <v>2</v>
          </cell>
          <cell r="AP42">
            <v>2</v>
          </cell>
          <cell r="AQ42">
            <v>57520</v>
          </cell>
          <cell r="AR42">
            <v>257848</v>
          </cell>
          <cell r="AS42">
            <v>447404</v>
          </cell>
          <cell r="AT42">
            <v>833052</v>
          </cell>
          <cell r="AU42">
            <v>1117046</v>
          </cell>
          <cell r="AV42">
            <v>1</v>
          </cell>
          <cell r="AW42">
            <v>4</v>
          </cell>
          <cell r="AX42">
            <v>0</v>
          </cell>
          <cell r="AY42">
            <v>0</v>
          </cell>
          <cell r="AZ42">
            <v>0</v>
          </cell>
          <cell r="BA42">
            <v>101.83</v>
          </cell>
          <cell r="BB42">
            <v>0</v>
          </cell>
          <cell r="BC42">
            <v>0</v>
          </cell>
          <cell r="BD42">
            <v>0</v>
          </cell>
          <cell r="BE42">
            <v>0</v>
          </cell>
          <cell r="BF42">
            <v>0</v>
          </cell>
          <cell r="BG42">
            <v>1</v>
          </cell>
        </row>
        <row r="42">
          <cell r="BP42">
            <v>205</v>
          </cell>
          <cell r="BQ42">
            <v>45</v>
          </cell>
          <cell r="BR42">
            <v>46184</v>
          </cell>
          <cell r="BS42">
            <v>46181</v>
          </cell>
          <cell r="BT42" t="str">
            <v>是</v>
          </cell>
          <cell r="BU42" t="str">
            <v>否</v>
          </cell>
          <cell r="BV42">
            <v>205</v>
          </cell>
          <cell r="BW42">
            <v>121.3</v>
          </cell>
          <cell r="BX42">
            <v>46183</v>
          </cell>
          <cell r="BY42">
            <v>5</v>
          </cell>
          <cell r="BZ42">
            <v>0</v>
          </cell>
          <cell r="CA42">
            <v>0</v>
          </cell>
          <cell r="CB42">
            <v>0</v>
          </cell>
          <cell r="CC42">
            <v>0</v>
          </cell>
          <cell r="CD42">
            <v>8</v>
          </cell>
          <cell r="CE42" t="str">
            <v>--</v>
          </cell>
          <cell r="CF42" t="str">
            <v>N</v>
          </cell>
        </row>
        <row r="43">
          <cell r="A43" t="str">
            <v>X0018196EB</v>
          </cell>
          <cell r="B43" t="str">
            <v>Amazon JP</v>
          </cell>
          <cell r="C43" t="str">
            <v>jp-mole-premium</v>
          </cell>
          <cell r="D43" t="str">
            <v>X0018196EB</v>
          </cell>
          <cell r="E43" t="str">
            <v>B0DBHKB25N</v>
          </cell>
          <cell r="F43" t="str">
            <v>3DMakerpro mole ハンドヘルド 3D スキャナー、3D プリント用、0.05mm の高精細精度、10FPS の超高速スキャン (mole アップグレード版)</v>
          </cell>
          <cell r="G43" t="str">
            <v>New</v>
          </cell>
          <cell r="H43">
            <v>9</v>
          </cell>
          <cell r="I43">
            <v>0</v>
          </cell>
          <cell r="J43">
            <v>0</v>
          </cell>
          <cell r="K43">
            <v>0</v>
          </cell>
          <cell r="L43">
            <v>0</v>
          </cell>
          <cell r="M43">
            <v>0</v>
          </cell>
          <cell r="N43">
            <v>9</v>
          </cell>
          <cell r="O43" t="str">
            <v>JPY</v>
          </cell>
          <cell r="P43">
            <v>0</v>
          </cell>
          <cell r="Q43">
            <v>0</v>
          </cell>
          <cell r="R43">
            <v>0</v>
          </cell>
          <cell r="S43">
            <v>0</v>
          </cell>
          <cell r="T43" t="str">
            <v>Low conversion</v>
          </cell>
          <cell r="U43">
            <v>128550</v>
          </cell>
          <cell r="V43">
            <v>0</v>
          </cell>
          <cell r="W43">
            <v>128550</v>
          </cell>
          <cell r="X43">
            <v>0</v>
          </cell>
          <cell r="Y43" t="str">
            <v>降低商品价格</v>
          </cell>
          <cell r="Z43">
            <v>0</v>
          </cell>
          <cell r="AA43">
            <v>0</v>
          </cell>
          <cell r="AB43">
            <v>0</v>
          </cell>
          <cell r="AC43">
            <v>0</v>
          </cell>
          <cell r="AD43">
            <v>387102.12</v>
          </cell>
          <cell r="AE43">
            <v>0</v>
          </cell>
          <cell r="AF43">
            <v>0.011801</v>
          </cell>
          <cell r="AG43" t="str">
            <v>cubic meter</v>
          </cell>
          <cell r="AH43" t="str">
            <v>Standard</v>
          </cell>
          <cell r="AI43">
            <v>0.106206</v>
          </cell>
          <cell r="AJ43" t="str">
            <v>JP</v>
          </cell>
          <cell r="AK43" t="str">
            <v>gl_home_improvement</v>
          </cell>
          <cell r="AL43">
            <v>87561</v>
          </cell>
          <cell r="AM43">
            <v>366</v>
          </cell>
          <cell r="AN43">
            <v>9</v>
          </cell>
        </row>
        <row r="43">
          <cell r="AQ43">
            <v>128550</v>
          </cell>
          <cell r="AR43">
            <v>0</v>
          </cell>
          <cell r="AS43">
            <v>0</v>
          </cell>
          <cell r="AT43">
            <v>0</v>
          </cell>
          <cell r="AU43">
            <v>0</v>
          </cell>
          <cell r="AV43">
            <v>0</v>
          </cell>
          <cell r="AW43">
            <v>0</v>
          </cell>
          <cell r="AX43">
            <v>0</v>
          </cell>
          <cell r="AY43">
            <v>0</v>
          </cell>
          <cell r="AZ43">
            <v>0</v>
          </cell>
          <cell r="BA43">
            <v>4139.83</v>
          </cell>
          <cell r="BB43">
            <v>0</v>
          </cell>
          <cell r="BC43">
            <v>0</v>
          </cell>
          <cell r="BD43">
            <v>0</v>
          </cell>
          <cell r="BE43">
            <v>0</v>
          </cell>
          <cell r="BF43">
            <v>0</v>
          </cell>
          <cell r="BG43">
            <v>0</v>
          </cell>
          <cell r="BH43">
            <v>0</v>
          </cell>
          <cell r="BI43">
            <v>0</v>
          </cell>
          <cell r="BJ43">
            <v>0</v>
          </cell>
          <cell r="BK43">
            <v>0</v>
          </cell>
          <cell r="BL43">
            <v>0</v>
          </cell>
          <cell r="BM43">
            <v>0</v>
          </cell>
          <cell r="BN43">
            <v>9</v>
          </cell>
          <cell r="BO43">
            <v>3636</v>
          </cell>
          <cell r="BP43">
            <v>351.7</v>
          </cell>
          <cell r="BQ43">
            <v>0</v>
          </cell>
        </row>
        <row r="43">
          <cell r="BS43">
            <v>46181</v>
          </cell>
          <cell r="BT43" t="str">
            <v>是</v>
          </cell>
          <cell r="BU43" t="str">
            <v>否</v>
          </cell>
          <cell r="BV43">
            <v>351.7</v>
          </cell>
          <cell r="BW43">
            <v>177.4</v>
          </cell>
          <cell r="BX43">
            <v>46183</v>
          </cell>
          <cell r="BY43">
            <v>9</v>
          </cell>
          <cell r="BZ43">
            <v>0</v>
          </cell>
          <cell r="CA43">
            <v>0</v>
          </cell>
          <cell r="CB43">
            <v>0</v>
          </cell>
          <cell r="CC43">
            <v>0</v>
          </cell>
          <cell r="CD43">
            <v>366</v>
          </cell>
          <cell r="CE43" t="str">
            <v>--</v>
          </cell>
          <cell r="CF43" t="str">
            <v>N</v>
          </cell>
        </row>
        <row r="44">
          <cell r="A44" t="str">
            <v>X001BG7GYF</v>
          </cell>
          <cell r="B44" t="str">
            <v>Amazon JP</v>
          </cell>
          <cell r="C44" t="str">
            <v>CE-0OK0-ZR5L</v>
          </cell>
          <cell r="D44" t="str">
            <v>X001BG7GYF</v>
          </cell>
          <cell r="E44" t="str">
            <v>B0FPM9D5T4</v>
          </cell>
          <cell r="F44" t="str">
            <v>3Dmakerpro AESUB blue 3D スキャニングスプレー 3Dスキャナー用 レーザーキャッチ 3Dスキャン 透過防止剤 400ml</v>
          </cell>
          <cell r="G44" t="str">
            <v>New</v>
          </cell>
          <cell r="H44">
            <v>27</v>
          </cell>
          <cell r="I44">
            <v>0</v>
          </cell>
          <cell r="J44">
            <v>4</v>
          </cell>
          <cell r="K44">
            <v>23</v>
          </cell>
          <cell r="L44">
            <v>0</v>
          </cell>
          <cell r="M44">
            <v>0</v>
          </cell>
          <cell r="N44">
            <v>0</v>
          </cell>
          <cell r="O44" t="str">
            <v>JPY</v>
          </cell>
          <cell r="P44">
            <v>10</v>
          </cell>
          <cell r="Q44">
            <v>11</v>
          </cell>
          <cell r="R44">
            <v>11</v>
          </cell>
          <cell r="S44">
            <v>15</v>
          </cell>
          <cell r="T44" t="str">
            <v>Low traffic</v>
          </cell>
          <cell r="U44">
            <v>6169</v>
          </cell>
          <cell r="V44">
            <v>0</v>
          </cell>
          <cell r="W44">
            <v>6169</v>
          </cell>
          <cell r="X44">
            <v>0</v>
          </cell>
          <cell r="Y44" t="str">
            <v>NoRestockExcessActionRequired</v>
          </cell>
          <cell r="Z44">
            <v>0</v>
          </cell>
          <cell r="AA44">
            <v>0</v>
          </cell>
          <cell r="AB44">
            <v>0</v>
          </cell>
          <cell r="AC44">
            <v>0</v>
          </cell>
          <cell r="AD44">
            <v>83435.34</v>
          </cell>
          <cell r="AE44">
            <v>0.43</v>
          </cell>
          <cell r="AF44" t="str">
            <v>7.4E-4</v>
          </cell>
          <cell r="AG44" t="str">
            <v>cubic meter</v>
          </cell>
          <cell r="AH44" t="str">
            <v>Standard</v>
          </cell>
          <cell r="AI44">
            <v>0.019988</v>
          </cell>
          <cell r="AJ44" t="str">
            <v>JP</v>
          </cell>
          <cell r="AK44" t="str">
            <v>gl_home_improvement</v>
          </cell>
        </row>
        <row r="44">
          <cell r="AM44">
            <v>255</v>
          </cell>
          <cell r="AN44">
            <v>27</v>
          </cell>
          <cell r="AO44">
            <v>9</v>
          </cell>
          <cell r="AP44">
            <v>23</v>
          </cell>
          <cell r="AQ44">
            <v>6169</v>
          </cell>
          <cell r="AR44">
            <v>56080</v>
          </cell>
          <cell r="AS44">
            <v>61407</v>
          </cell>
          <cell r="AT44">
            <v>61407</v>
          </cell>
          <cell r="AU44">
            <v>83839</v>
          </cell>
          <cell r="AV44">
            <v>0</v>
          </cell>
          <cell r="AW44">
            <v>4</v>
          </cell>
          <cell r="AX44">
            <v>0</v>
          </cell>
          <cell r="AY44">
            <v>0</v>
          </cell>
          <cell r="AZ44">
            <v>0</v>
          </cell>
          <cell r="BA44">
            <v>94.75</v>
          </cell>
          <cell r="BB44">
            <v>0</v>
          </cell>
          <cell r="BC44">
            <v>0</v>
          </cell>
          <cell r="BD44">
            <v>0</v>
          </cell>
          <cell r="BE44">
            <v>0</v>
          </cell>
          <cell r="BF44">
            <v>0</v>
          </cell>
          <cell r="BG44">
            <v>0</v>
          </cell>
        </row>
        <row r="44">
          <cell r="BP44">
            <v>221.4</v>
          </cell>
          <cell r="BQ44">
            <v>2</v>
          </cell>
          <cell r="BR44">
            <v>46199</v>
          </cell>
          <cell r="BS44">
            <v>46181</v>
          </cell>
          <cell r="BT44" t="str">
            <v>是</v>
          </cell>
          <cell r="BU44" t="str">
            <v>否</v>
          </cell>
          <cell r="BV44">
            <v>110.7</v>
          </cell>
          <cell r="BW44">
            <v>221.4</v>
          </cell>
          <cell r="BX44">
            <v>46183</v>
          </cell>
          <cell r="BY44">
            <v>27</v>
          </cell>
          <cell r="BZ44">
            <v>0</v>
          </cell>
          <cell r="CA44">
            <v>0</v>
          </cell>
          <cell r="CB44">
            <v>0</v>
          </cell>
          <cell r="CC44">
            <v>0</v>
          </cell>
          <cell r="CD44">
            <v>255</v>
          </cell>
          <cell r="CE44" t="str">
            <v>--</v>
          </cell>
          <cell r="CF44" t="str">
            <v>N</v>
          </cell>
        </row>
        <row r="45">
          <cell r="A45" t="str">
            <v>X0019H1UUR</v>
          </cell>
          <cell r="B45" t="str">
            <v>Amazon JP</v>
          </cell>
          <cell r="C45" t="str">
            <v>HM-8XCZ-OT7J</v>
          </cell>
          <cell r="D45" t="str">
            <v>X0019H1UUR</v>
          </cell>
          <cell r="E45" t="str">
            <v>B0DT114D82</v>
          </cell>
          <cell r="F45" t="str">
            <v>3DMakerpro mole ハンドヘルド 3D スキャナー、3D プリント用、0.05mm の高精細精度、10FPS の超高速スキャン (mole アップグレード版)</v>
          </cell>
          <cell r="G45" t="str">
            <v>New</v>
          </cell>
          <cell r="H45">
            <v>18</v>
          </cell>
          <cell r="I45">
            <v>0</v>
          </cell>
          <cell r="J45">
            <v>0</v>
          </cell>
          <cell r="K45">
            <v>0</v>
          </cell>
          <cell r="L45">
            <v>0</v>
          </cell>
          <cell r="M45">
            <v>0</v>
          </cell>
          <cell r="N45">
            <v>21</v>
          </cell>
          <cell r="O45" t="str">
            <v>JPY</v>
          </cell>
          <cell r="P45">
            <v>1</v>
          </cell>
          <cell r="Q45">
            <v>2</v>
          </cell>
          <cell r="R45">
            <v>7</v>
          </cell>
          <cell r="S45">
            <v>12</v>
          </cell>
          <cell r="T45" t="str">
            <v>Low traffic</v>
          </cell>
          <cell r="U45">
            <v>77130</v>
          </cell>
          <cell r="V45">
            <v>0</v>
          </cell>
          <cell r="W45">
            <v>77130</v>
          </cell>
          <cell r="X45">
            <v>0</v>
          </cell>
          <cell r="Y45" t="str">
            <v>NoRestockExcessActionRequired</v>
          </cell>
          <cell r="Z45">
            <v>9</v>
          </cell>
          <cell r="AA45">
            <v>0</v>
          </cell>
          <cell r="AB45">
            <v>0</v>
          </cell>
          <cell r="AC45">
            <v>0</v>
          </cell>
          <cell r="AD45">
            <v>115882.28</v>
          </cell>
          <cell r="AE45">
            <v>0.43</v>
          </cell>
          <cell r="AF45">
            <v>0.011857</v>
          </cell>
          <cell r="AG45" t="str">
            <v>cubic meter</v>
          </cell>
          <cell r="AH45" t="str">
            <v>Standard</v>
          </cell>
          <cell r="AI45">
            <v>0.213428</v>
          </cell>
          <cell r="AJ45" t="str">
            <v>JP</v>
          </cell>
          <cell r="AK45" t="str">
            <v>gl_pc</v>
          </cell>
          <cell r="AL45">
            <v>39334</v>
          </cell>
          <cell r="AM45">
            <v>160</v>
          </cell>
          <cell r="AN45">
            <v>10</v>
          </cell>
          <cell r="AO45">
            <v>36</v>
          </cell>
          <cell r="AP45">
            <v>19</v>
          </cell>
          <cell r="AQ45">
            <v>55650</v>
          </cell>
          <cell r="AR45">
            <v>50591</v>
          </cell>
          <cell r="AS45">
            <v>101183</v>
          </cell>
          <cell r="AT45">
            <v>386183</v>
          </cell>
          <cell r="AU45">
            <v>639143</v>
          </cell>
          <cell r="AV45">
            <v>0</v>
          </cell>
          <cell r="AW45">
            <v>0</v>
          </cell>
          <cell r="AX45">
            <v>0</v>
          </cell>
          <cell r="AY45">
            <v>0</v>
          </cell>
          <cell r="AZ45">
            <v>0</v>
          </cell>
          <cell r="BA45">
            <v>8740.21</v>
          </cell>
          <cell r="BB45">
            <v>0</v>
          </cell>
          <cell r="BC45">
            <v>0</v>
          </cell>
          <cell r="BD45">
            <v>0</v>
          </cell>
          <cell r="BE45">
            <v>0</v>
          </cell>
          <cell r="BF45">
            <v>1</v>
          </cell>
          <cell r="BG45">
            <v>0</v>
          </cell>
          <cell r="BH45">
            <v>0</v>
          </cell>
          <cell r="BI45">
            <v>0</v>
          </cell>
          <cell r="BJ45">
            <v>0</v>
          </cell>
          <cell r="BK45">
            <v>0</v>
          </cell>
          <cell r="BL45">
            <v>0</v>
          </cell>
          <cell r="BM45">
            <v>0</v>
          </cell>
          <cell r="BN45">
            <v>21</v>
          </cell>
          <cell r="BO45">
            <v>8525</v>
          </cell>
          <cell r="BP45">
            <v>642</v>
          </cell>
          <cell r="BQ45">
            <v>0</v>
          </cell>
        </row>
        <row r="45">
          <cell r="BS45">
            <v>46181</v>
          </cell>
          <cell r="BT45" t="str">
            <v>是</v>
          </cell>
          <cell r="BU45" t="str">
            <v>否</v>
          </cell>
          <cell r="BV45">
            <v>642</v>
          </cell>
          <cell r="BW45">
            <v>211</v>
          </cell>
          <cell r="BX45">
            <v>46183</v>
          </cell>
          <cell r="BY45">
            <v>19</v>
          </cell>
          <cell r="BZ45">
            <v>1</v>
          </cell>
          <cell r="CA45">
            <v>0</v>
          </cell>
          <cell r="CB45">
            <v>1</v>
          </cell>
          <cell r="CC45">
            <v>0</v>
          </cell>
          <cell r="CD45">
            <v>167</v>
          </cell>
          <cell r="CE45" t="str">
            <v>--</v>
          </cell>
          <cell r="CF45" t="str">
            <v>N</v>
          </cell>
        </row>
        <row r="46">
          <cell r="A46" t="str">
            <v>X0017KIH11</v>
          </cell>
          <cell r="B46" t="str">
            <v>Amazon JP</v>
          </cell>
          <cell r="C46" t="str">
            <v>Moose  Standard  JP</v>
          </cell>
          <cell r="D46" t="str">
            <v>X0017KIH11</v>
          </cell>
          <cell r="E46" t="str">
            <v>B0D66B75PK</v>
          </cell>
          <cell r="F46" t="str">
            <v>3DMakerpro Moose 3Dスキャナー 3Dプリント用、0.03mm 高精度ハンディ3Dモデルスキャナー、24ビットカラーカメラ、手ブレ補正レンズ、Windows/MacOS対応(標準版)</v>
          </cell>
          <cell r="G46" t="str">
            <v>New</v>
          </cell>
          <cell r="H46">
            <v>31</v>
          </cell>
          <cell r="I46">
            <v>0</v>
          </cell>
          <cell r="J46">
            <v>20</v>
          </cell>
          <cell r="K46">
            <v>11</v>
          </cell>
          <cell r="L46">
            <v>0</v>
          </cell>
          <cell r="M46">
            <v>0</v>
          </cell>
          <cell r="N46">
            <v>0</v>
          </cell>
          <cell r="O46" t="str">
            <v>JPY</v>
          </cell>
          <cell r="P46">
            <v>0</v>
          </cell>
          <cell r="Q46">
            <v>1</v>
          </cell>
          <cell r="R46">
            <v>3</v>
          </cell>
          <cell r="S46">
            <v>4</v>
          </cell>
        </row>
        <row r="46">
          <cell r="U46">
            <v>87385</v>
          </cell>
          <cell r="V46">
            <v>0</v>
          </cell>
          <cell r="W46">
            <v>83016</v>
          </cell>
          <cell r="X46">
            <v>0</v>
          </cell>
          <cell r="Y46" t="str">
            <v>编辑商品信息</v>
          </cell>
          <cell r="Z46">
            <v>1</v>
          </cell>
          <cell r="AA46">
            <v>0</v>
          </cell>
          <cell r="AB46">
            <v>0</v>
          </cell>
          <cell r="AC46">
            <v>0</v>
          </cell>
          <cell r="AD46">
            <v>505333.83</v>
          </cell>
          <cell r="AE46">
            <v>0.16</v>
          </cell>
          <cell r="AF46">
            <v>0.001746</v>
          </cell>
          <cell r="AG46" t="str">
            <v>cubic meter</v>
          </cell>
          <cell r="AH46" t="str">
            <v>Standard</v>
          </cell>
          <cell r="AI46">
            <v>0.054137</v>
          </cell>
          <cell r="AJ46" t="str">
            <v>JP</v>
          </cell>
          <cell r="AK46" t="str">
            <v>gl_home_improvement</v>
          </cell>
          <cell r="AL46">
            <v>115001</v>
          </cell>
          <cell r="AM46">
            <v>366</v>
          </cell>
          <cell r="AN46">
            <v>30</v>
          </cell>
          <cell r="AO46">
            <v>124</v>
          </cell>
          <cell r="AP46">
            <v>100</v>
          </cell>
          <cell r="AQ46">
            <v>87385</v>
          </cell>
          <cell r="AR46">
            <v>0</v>
          </cell>
          <cell r="AS46">
            <v>73959</v>
          </cell>
          <cell r="AT46">
            <v>227359</v>
          </cell>
          <cell r="AU46">
            <v>301318</v>
          </cell>
          <cell r="AV46">
            <v>0</v>
          </cell>
          <cell r="AW46">
            <v>20</v>
          </cell>
          <cell r="AX46">
            <v>0</v>
          </cell>
          <cell r="AY46">
            <v>0</v>
          </cell>
          <cell r="AZ46">
            <v>0</v>
          </cell>
          <cell r="BA46">
            <v>256.63</v>
          </cell>
          <cell r="BB46">
            <v>0</v>
          </cell>
          <cell r="BC46">
            <v>0</v>
          </cell>
          <cell r="BD46">
            <v>0</v>
          </cell>
          <cell r="BE46">
            <v>0</v>
          </cell>
          <cell r="BF46">
            <v>0</v>
          </cell>
          <cell r="BG46">
            <v>0</v>
          </cell>
        </row>
        <row r="46">
          <cell r="BP46">
            <v>1448.5</v>
          </cell>
          <cell r="BQ46">
            <v>0</v>
          </cell>
        </row>
        <row r="46">
          <cell r="BS46">
            <v>46181</v>
          </cell>
          <cell r="BT46" t="str">
            <v>是</v>
          </cell>
          <cell r="BU46" t="str">
            <v>否</v>
          </cell>
          <cell r="BV46">
            <v>1448.5</v>
          </cell>
          <cell r="BW46">
            <v>1281.2</v>
          </cell>
          <cell r="BX46">
            <v>46183</v>
          </cell>
          <cell r="BY46">
            <v>31</v>
          </cell>
          <cell r="BZ46">
            <v>0</v>
          </cell>
          <cell r="CA46">
            <v>0</v>
          </cell>
          <cell r="CB46">
            <v>0</v>
          </cell>
          <cell r="CC46">
            <v>0</v>
          </cell>
          <cell r="CD46">
            <v>366</v>
          </cell>
          <cell r="CE46" t="str">
            <v>--</v>
          </cell>
          <cell r="CF46" t="str">
            <v>N</v>
          </cell>
        </row>
        <row r="47">
          <cell r="A47" t="str">
            <v>X00161GNY9</v>
          </cell>
          <cell r="B47" t="str">
            <v>Amazon JP</v>
          </cell>
          <cell r="C47" t="str">
            <v>Seal-8-8</v>
          </cell>
          <cell r="D47" t="str">
            <v>X00161GNY9</v>
          </cell>
          <cell r="E47" t="str">
            <v>B0CQ2M9JV1</v>
          </cell>
          <cell r="F47" t="str">
            <v>3DMakerpro Seal 3Dスキャナー 0.01mmの精度を持つハンドヘルド 3Dスキャナー 24ビットカラーカメラ手ブレ防止の光学レンズ ミニチュアサイズ 最大10FPSのスキャン速度 アップグレード版</v>
          </cell>
          <cell r="G47" t="str">
            <v>New</v>
          </cell>
          <cell r="H47">
            <v>20</v>
          </cell>
          <cell r="I47">
            <v>0</v>
          </cell>
          <cell r="J47">
            <v>20</v>
          </cell>
          <cell r="K47">
            <v>0</v>
          </cell>
          <cell r="L47">
            <v>0</v>
          </cell>
          <cell r="M47">
            <v>0</v>
          </cell>
          <cell r="N47">
            <v>0</v>
          </cell>
          <cell r="O47" t="str">
            <v>JPY</v>
          </cell>
          <cell r="P47">
            <v>1</v>
          </cell>
          <cell r="Q47">
            <v>6</v>
          </cell>
          <cell r="R47">
            <v>8</v>
          </cell>
          <cell r="S47">
            <v>11</v>
          </cell>
        </row>
        <row r="47">
          <cell r="U47">
            <v>105462</v>
          </cell>
          <cell r="V47">
            <v>105462</v>
          </cell>
          <cell r="W47">
            <v>105462</v>
          </cell>
          <cell r="X47">
            <v>0</v>
          </cell>
          <cell r="Y47" t="str">
            <v>NoRestockExcessActionRequired</v>
          </cell>
          <cell r="Z47">
            <v>20</v>
          </cell>
          <cell r="AA47">
            <v>0</v>
          </cell>
          <cell r="AB47">
            <v>0</v>
          </cell>
          <cell r="AC47">
            <v>0</v>
          </cell>
          <cell r="AD47">
            <v>0</v>
          </cell>
          <cell r="AE47">
            <v>0.53</v>
          </cell>
          <cell r="AF47">
            <v>0.014435</v>
          </cell>
          <cell r="AG47" t="str">
            <v>cubic meter</v>
          </cell>
          <cell r="AH47" t="str">
            <v>Standard</v>
          </cell>
          <cell r="AI47">
            <v>0.28869</v>
          </cell>
          <cell r="AJ47" t="str">
            <v>JP</v>
          </cell>
          <cell r="AK47" t="str">
            <v>gl_home_improvement</v>
          </cell>
          <cell r="AL47">
            <v>65344</v>
          </cell>
          <cell r="AM47">
            <v>75</v>
          </cell>
          <cell r="AN47">
            <v>0</v>
          </cell>
          <cell r="AO47">
            <v>13</v>
          </cell>
          <cell r="AP47">
            <v>23</v>
          </cell>
          <cell r="AQ47">
            <v>105462</v>
          </cell>
          <cell r="AR47">
            <v>88879</v>
          </cell>
          <cell r="AS47">
            <v>549378</v>
          </cell>
          <cell r="AT47">
            <v>727136</v>
          </cell>
          <cell r="AU47">
            <v>991001</v>
          </cell>
          <cell r="AV47">
            <v>0</v>
          </cell>
          <cell r="AW47">
            <v>0</v>
          </cell>
          <cell r="AX47">
            <v>20</v>
          </cell>
          <cell r="AY47">
            <v>0</v>
          </cell>
          <cell r="AZ47">
            <v>0</v>
          </cell>
          <cell r="BA47">
            <v>1316.28</v>
          </cell>
          <cell r="BB47">
            <v>0</v>
          </cell>
          <cell r="BC47">
            <v>0</v>
          </cell>
          <cell r="BD47">
            <v>0</v>
          </cell>
          <cell r="BE47">
            <v>0</v>
          </cell>
          <cell r="BF47">
            <v>0</v>
          </cell>
          <cell r="BG47">
            <v>1</v>
          </cell>
        </row>
        <row r="47">
          <cell r="BP47">
            <v>218.4</v>
          </cell>
          <cell r="BQ47">
            <v>9</v>
          </cell>
          <cell r="BR47">
            <v>46199</v>
          </cell>
          <cell r="BS47">
            <v>46181</v>
          </cell>
          <cell r="BT47" t="str">
            <v>是</v>
          </cell>
          <cell r="BU47" t="str">
            <v>否</v>
          </cell>
          <cell r="BV47">
            <v>117.5</v>
          </cell>
          <cell r="BW47">
            <v>218.4</v>
          </cell>
          <cell r="BX47">
            <v>46183</v>
          </cell>
          <cell r="BY47">
            <v>20</v>
          </cell>
          <cell r="BZ47">
            <v>0</v>
          </cell>
          <cell r="CA47">
            <v>0</v>
          </cell>
          <cell r="CB47">
            <v>0</v>
          </cell>
          <cell r="CC47">
            <v>0</v>
          </cell>
          <cell r="CD47">
            <v>75</v>
          </cell>
          <cell r="CE47" t="str">
            <v>--</v>
          </cell>
          <cell r="CF47" t="str">
            <v>N</v>
          </cell>
        </row>
        <row r="48">
          <cell r="A48" t="str">
            <v>X001AQ5F8F</v>
          </cell>
          <cell r="B48" t="str">
            <v>Amazon JP</v>
          </cell>
          <cell r="C48" t="str">
            <v>seal lite -p-jp</v>
          </cell>
          <cell r="D48" t="str">
            <v>X001AQ5F8F</v>
          </cell>
          <cell r="E48" t="str">
            <v>B0FCG1CQB8</v>
          </cell>
          <cell r="F48" t="str">
            <v>3DMakerpro Seal Lite 3dスキャナー、3D プリント用、0.02mm の高精細精度、10FPS の超高速スキャン、手ぶれ補正レンズ付き、Win10/MacOS 用ポータブル 3D スキャナー （Seal Liteアップグレード版）</v>
          </cell>
          <cell r="G48" t="str">
            <v>New</v>
          </cell>
          <cell r="H48">
            <v>10</v>
          </cell>
          <cell r="I48">
            <v>0</v>
          </cell>
          <cell r="J48">
            <v>1</v>
          </cell>
          <cell r="K48">
            <v>10</v>
          </cell>
          <cell r="L48">
            <v>0</v>
          </cell>
          <cell r="M48">
            <v>0</v>
          </cell>
          <cell r="N48">
            <v>0</v>
          </cell>
          <cell r="O48" t="str">
            <v>JPY</v>
          </cell>
          <cell r="P48">
            <v>1</v>
          </cell>
          <cell r="Q48">
            <v>3</v>
          </cell>
          <cell r="R48">
            <v>7</v>
          </cell>
          <cell r="S48">
            <v>12</v>
          </cell>
        </row>
        <row r="48">
          <cell r="U48">
            <v>69743</v>
          </cell>
          <cell r="V48">
            <v>0</v>
          </cell>
          <cell r="W48">
            <v>69743</v>
          </cell>
          <cell r="X48">
            <v>0</v>
          </cell>
          <cell r="Y48" t="str">
            <v>NoRestockExcessActionRequired</v>
          </cell>
          <cell r="Z48">
            <v>10</v>
          </cell>
          <cell r="AA48">
            <v>0</v>
          </cell>
          <cell r="AB48">
            <v>0</v>
          </cell>
          <cell r="AC48">
            <v>0</v>
          </cell>
          <cell r="AD48">
            <v>0</v>
          </cell>
          <cell r="AE48">
            <v>0.74</v>
          </cell>
          <cell r="AF48">
            <v>0.007065</v>
          </cell>
          <cell r="AG48" t="str">
            <v>cubic meter</v>
          </cell>
          <cell r="AH48" t="str">
            <v>Standard</v>
          </cell>
          <cell r="AI48">
            <v>0.070654</v>
          </cell>
          <cell r="AJ48" t="str">
            <v>JP</v>
          </cell>
          <cell r="AK48" t="str">
            <v>gl_home_improvement</v>
          </cell>
          <cell r="AL48">
            <v>26272</v>
          </cell>
          <cell r="AM48">
            <v>42</v>
          </cell>
          <cell r="AN48">
            <v>0</v>
          </cell>
          <cell r="AO48">
            <v>45</v>
          </cell>
          <cell r="AP48">
            <v>36</v>
          </cell>
          <cell r="AQ48">
            <v>69743</v>
          </cell>
          <cell r="AR48">
            <v>63403</v>
          </cell>
          <cell r="AS48">
            <v>179391</v>
          </cell>
          <cell r="AT48">
            <v>433003</v>
          </cell>
          <cell r="AU48">
            <v>707458</v>
          </cell>
          <cell r="AV48">
            <v>0</v>
          </cell>
          <cell r="AW48">
            <v>0</v>
          </cell>
          <cell r="AX48">
            <v>1</v>
          </cell>
          <cell r="AY48">
            <v>0</v>
          </cell>
          <cell r="AZ48">
            <v>0</v>
          </cell>
          <cell r="BA48">
            <v>286.68</v>
          </cell>
          <cell r="BB48">
            <v>24</v>
          </cell>
          <cell r="BC48">
            <v>24</v>
          </cell>
          <cell r="BD48">
            <v>0</v>
          </cell>
          <cell r="BE48">
            <v>0</v>
          </cell>
          <cell r="BF48">
            <v>0</v>
          </cell>
          <cell r="BG48">
            <v>1</v>
          </cell>
        </row>
        <row r="48">
          <cell r="BP48">
            <v>185</v>
          </cell>
          <cell r="BQ48">
            <v>0</v>
          </cell>
        </row>
        <row r="48">
          <cell r="BS48">
            <v>46181</v>
          </cell>
          <cell r="BT48" t="str">
            <v>是</v>
          </cell>
          <cell r="BU48" t="str">
            <v>否</v>
          </cell>
          <cell r="BV48">
            <v>185</v>
          </cell>
          <cell r="BW48">
            <v>100.9</v>
          </cell>
          <cell r="BX48">
            <v>46183</v>
          </cell>
          <cell r="BY48">
            <v>34</v>
          </cell>
          <cell r="BZ48">
            <v>0</v>
          </cell>
          <cell r="CA48">
            <v>0</v>
          </cell>
          <cell r="CB48">
            <v>0</v>
          </cell>
          <cell r="CC48">
            <v>0</v>
          </cell>
          <cell r="CD48">
            <v>150</v>
          </cell>
          <cell r="CE48" t="str">
            <v>--</v>
          </cell>
          <cell r="CF48" t="str">
            <v>N</v>
          </cell>
        </row>
        <row r="49">
          <cell r="A49" t="str">
            <v>X001BY46IV</v>
          </cell>
          <cell r="B49" t="str">
            <v>Amazon JP</v>
          </cell>
          <cell r="C49" t="str">
            <v>F0-PEOP-J8OD</v>
          </cell>
          <cell r="D49" t="str">
            <v>X001BY46IV</v>
          </cell>
          <cell r="E49" t="str">
            <v>B0FZSW26B7</v>
          </cell>
          <cell r="F49" t="str">
            <v>3DMakerPro 3Dスキャナー用三脚架seal ， seal lite /，moose，moose lite対応</v>
          </cell>
          <cell r="G49" t="str">
            <v>New</v>
          </cell>
          <cell r="H49">
            <v>32</v>
          </cell>
          <cell r="I49">
            <v>0</v>
          </cell>
          <cell r="J49">
            <v>0</v>
          </cell>
          <cell r="K49">
            <v>32</v>
          </cell>
          <cell r="L49">
            <v>0</v>
          </cell>
          <cell r="M49">
            <v>0</v>
          </cell>
          <cell r="N49">
            <v>0</v>
          </cell>
          <cell r="O49" t="str">
            <v>JPY</v>
          </cell>
          <cell r="P49">
            <v>0</v>
          </cell>
          <cell r="Q49">
            <v>2</v>
          </cell>
          <cell r="R49">
            <v>3</v>
          </cell>
          <cell r="S49">
            <v>3</v>
          </cell>
          <cell r="T49" t="str">
            <v>Low traffic</v>
          </cell>
          <cell r="U49">
            <v>5998</v>
          </cell>
          <cell r="V49">
            <v>0</v>
          </cell>
          <cell r="W49">
            <v>5998</v>
          </cell>
          <cell r="X49">
            <v>0</v>
          </cell>
          <cell r="Y49" t="str">
            <v>推广商品</v>
          </cell>
          <cell r="Z49">
            <v>0</v>
          </cell>
          <cell r="AA49">
            <v>0</v>
          </cell>
          <cell r="AB49">
            <v>0</v>
          </cell>
          <cell r="AC49">
            <v>0</v>
          </cell>
          <cell r="AD49">
            <v>99997.73</v>
          </cell>
          <cell r="AE49">
            <v>0.09</v>
          </cell>
          <cell r="AF49" t="str">
            <v>4.37E-4</v>
          </cell>
          <cell r="AG49" t="str">
            <v>cubic meter</v>
          </cell>
          <cell r="AH49" t="str">
            <v>Standard</v>
          </cell>
          <cell r="AI49">
            <v>0.013992</v>
          </cell>
          <cell r="AJ49" t="str">
            <v>JP</v>
          </cell>
          <cell r="AK49" t="str">
            <v>gl_electronics</v>
          </cell>
          <cell r="AL49">
            <v>17584</v>
          </cell>
          <cell r="AM49">
            <v>366</v>
          </cell>
          <cell r="AN49">
            <v>32</v>
          </cell>
          <cell r="AO49">
            <v>64</v>
          </cell>
          <cell r="AP49">
            <v>138</v>
          </cell>
          <cell r="AQ49">
            <v>5998</v>
          </cell>
          <cell r="AR49">
            <v>0</v>
          </cell>
          <cell r="AS49">
            <v>10529</v>
          </cell>
          <cell r="AT49">
            <v>15606</v>
          </cell>
          <cell r="AU49">
            <v>15606</v>
          </cell>
          <cell r="AV49">
            <v>0</v>
          </cell>
          <cell r="AW49">
            <v>0</v>
          </cell>
          <cell r="AX49">
            <v>0</v>
          </cell>
          <cell r="AY49">
            <v>0</v>
          </cell>
          <cell r="AZ49">
            <v>0</v>
          </cell>
          <cell r="BA49">
            <v>66.33</v>
          </cell>
          <cell r="BB49">
            <v>0</v>
          </cell>
          <cell r="BC49">
            <v>0</v>
          </cell>
          <cell r="BD49">
            <v>0</v>
          </cell>
          <cell r="BE49">
            <v>0</v>
          </cell>
          <cell r="BF49">
            <v>0</v>
          </cell>
          <cell r="BG49">
            <v>0</v>
          </cell>
        </row>
        <row r="49">
          <cell r="BP49">
            <v>1031.3</v>
          </cell>
          <cell r="BQ49">
            <v>0</v>
          </cell>
        </row>
        <row r="49">
          <cell r="BS49">
            <v>46181</v>
          </cell>
          <cell r="BT49" t="str">
            <v>是</v>
          </cell>
          <cell r="BU49" t="str">
            <v>否</v>
          </cell>
          <cell r="BV49">
            <v>506</v>
          </cell>
          <cell r="BW49">
            <v>1031.3</v>
          </cell>
          <cell r="BX49">
            <v>46183</v>
          </cell>
          <cell r="BY49">
            <v>32</v>
          </cell>
          <cell r="BZ49">
            <v>0</v>
          </cell>
          <cell r="CA49">
            <v>0</v>
          </cell>
          <cell r="CB49">
            <v>0</v>
          </cell>
          <cell r="CC49">
            <v>0</v>
          </cell>
          <cell r="CD49">
            <v>366</v>
          </cell>
          <cell r="CE49" t="str">
            <v>--</v>
          </cell>
          <cell r="CF49" t="str">
            <v>N</v>
          </cell>
        </row>
        <row r="50">
          <cell r="A50" t="str">
            <v>X001D9IQSF</v>
          </cell>
          <cell r="B50" t="str">
            <v>Amazon JP</v>
          </cell>
          <cell r="C50" t="str">
            <v>R4-KGC6-EP72</v>
          </cell>
          <cell r="D50" t="str">
            <v>X001D9IQSF</v>
          </cell>
          <cell r="E50" t="str">
            <v>B0GX13P7JB</v>
          </cell>
          <cell r="F50" t="str">
            <v>3DMakerpro Seal 3Dスキャナー 高精度0.05mm 青色光構造化光 小型物体対応 24bitフルカラー 手持ち/ターンテーブル兼用 JMStudio付 3Dプリンター用 デジタルアーカイブ ガレージキット スキャン 豪華版（自動回転台付）</v>
          </cell>
          <cell r="G50" t="str">
            <v>New</v>
          </cell>
          <cell r="H50">
            <v>9</v>
          </cell>
          <cell r="I50">
            <v>0</v>
          </cell>
          <cell r="J50">
            <v>9</v>
          </cell>
          <cell r="K50">
            <v>0</v>
          </cell>
          <cell r="L50">
            <v>0</v>
          </cell>
          <cell r="M50">
            <v>0</v>
          </cell>
          <cell r="N50">
            <v>0</v>
          </cell>
          <cell r="O50" t="str">
            <v>JPY</v>
          </cell>
          <cell r="P50">
            <v>5</v>
          </cell>
          <cell r="Q50">
            <v>5</v>
          </cell>
          <cell r="R50">
            <v>5</v>
          </cell>
          <cell r="S50">
            <v>5</v>
          </cell>
          <cell r="T50" t="str">
            <v>Low traffic</v>
          </cell>
          <cell r="U50">
            <v>171290</v>
          </cell>
          <cell r="V50">
            <v>0</v>
          </cell>
          <cell r="W50">
            <v>171290</v>
          </cell>
          <cell r="X50">
            <v>0</v>
          </cell>
          <cell r="Y50" t="str">
            <v>NoRestockExcessActionRequired</v>
          </cell>
          <cell r="Z50">
            <v>9</v>
          </cell>
          <cell r="AA50">
            <v>0</v>
          </cell>
          <cell r="AB50">
            <v>0</v>
          </cell>
          <cell r="AC50">
            <v>0</v>
          </cell>
          <cell r="AD50">
            <v>0</v>
          </cell>
          <cell r="AE50">
            <v>0.43</v>
          </cell>
          <cell r="AF50">
            <v>0.012992</v>
          </cell>
          <cell r="AG50" t="str">
            <v>cubic meter</v>
          </cell>
          <cell r="AH50" t="str">
            <v>Standard</v>
          </cell>
          <cell r="AI50">
            <v>0.116928</v>
          </cell>
          <cell r="AJ50" t="str">
            <v>JP</v>
          </cell>
          <cell r="AK50" t="str">
            <v>gl_home_improvement</v>
          </cell>
          <cell r="AL50">
            <v>69309</v>
          </cell>
          <cell r="AM50">
            <v>116</v>
          </cell>
          <cell r="AN50">
            <v>0</v>
          </cell>
          <cell r="AO50">
            <v>7</v>
          </cell>
          <cell r="AP50">
            <v>23</v>
          </cell>
          <cell r="AQ50">
            <v>171290</v>
          </cell>
          <cell r="AR50">
            <v>778590</v>
          </cell>
          <cell r="AS50">
            <v>778590</v>
          </cell>
          <cell r="AT50">
            <v>778590</v>
          </cell>
          <cell r="AU50">
            <v>778590</v>
          </cell>
          <cell r="AV50">
            <v>0</v>
          </cell>
          <cell r="AW50">
            <v>9</v>
          </cell>
          <cell r="AX50">
            <v>0</v>
          </cell>
          <cell r="AY50">
            <v>0</v>
          </cell>
          <cell r="AZ50">
            <v>0</v>
          </cell>
          <cell r="BA50">
            <v>554.28</v>
          </cell>
          <cell r="BB50">
            <v>0</v>
          </cell>
          <cell r="BC50">
            <v>0</v>
          </cell>
          <cell r="BD50">
            <v>0</v>
          </cell>
          <cell r="BE50">
            <v>0</v>
          </cell>
          <cell r="BF50">
            <v>0</v>
          </cell>
          <cell r="BG50">
            <v>0</v>
          </cell>
        </row>
        <row r="50">
          <cell r="BP50">
            <v>161.5</v>
          </cell>
          <cell r="BQ50">
            <v>0</v>
          </cell>
        </row>
        <row r="50">
          <cell r="BS50">
            <v>46181</v>
          </cell>
          <cell r="BT50" t="str">
            <v>是</v>
          </cell>
          <cell r="BU50" t="str">
            <v>否</v>
          </cell>
          <cell r="BV50">
            <v>103.8</v>
          </cell>
          <cell r="BW50">
            <v>161.5</v>
          </cell>
          <cell r="BX50">
            <v>46183</v>
          </cell>
          <cell r="BY50">
            <v>9</v>
          </cell>
          <cell r="BZ50">
            <v>0</v>
          </cell>
          <cell r="CA50">
            <v>0</v>
          </cell>
          <cell r="CB50">
            <v>0</v>
          </cell>
          <cell r="CC50">
            <v>0</v>
          </cell>
          <cell r="CD50">
            <v>116</v>
          </cell>
          <cell r="CE50" t="str">
            <v>--</v>
          </cell>
          <cell r="CF50" t="str">
            <v>N</v>
          </cell>
        </row>
        <row r="51">
          <cell r="A51" t="str">
            <v>X001BHOFVV</v>
          </cell>
          <cell r="B51" t="str">
            <v>Amazon JP</v>
          </cell>
          <cell r="C51" t="str">
            <v>moose-jp-Premium-3</v>
          </cell>
          <cell r="D51" t="str">
            <v>X001BHOFVV</v>
          </cell>
          <cell r="E51" t="str">
            <v>B0FQC2Y3GN</v>
          </cell>
          <cell r="F51" t="str">
            <v>3DMakerpro Moose 3Dスキャナー、0.03mmの精度を持つハンドヘルド3Dスキャナー、24ビットカラーカメラ、手ブレ防止の光学レンズ、ミニチュアサイズ、最大10FPSのスキャン速度、3Dプリント用， Windows/MacOS 用 (mooseアップグレード版)</v>
          </cell>
          <cell r="G51" t="str">
            <v>New</v>
          </cell>
          <cell r="H51">
            <v>24</v>
          </cell>
          <cell r="I51">
            <v>0</v>
          </cell>
          <cell r="J51">
            <v>0</v>
          </cell>
          <cell r="K51">
            <v>0</v>
          </cell>
          <cell r="L51">
            <v>24</v>
          </cell>
          <cell r="M51">
            <v>0</v>
          </cell>
          <cell r="N51">
            <v>0</v>
          </cell>
          <cell r="O51" t="str">
            <v>JPY</v>
          </cell>
        </row>
        <row r="51">
          <cell r="T51" t="str">
            <v>Low conversion</v>
          </cell>
          <cell r="U51">
            <v>129410</v>
          </cell>
          <cell r="V51">
            <v>0</v>
          </cell>
          <cell r="W51">
            <v>129410</v>
          </cell>
          <cell r="X51">
            <v>0</v>
          </cell>
          <cell r="Y51" t="str">
            <v>降低商品价格</v>
          </cell>
          <cell r="Z51">
            <v>0</v>
          </cell>
          <cell r="AA51">
            <v>109998</v>
          </cell>
          <cell r="AB51">
            <v>9</v>
          </cell>
          <cell r="AC51">
            <v>0</v>
          </cell>
          <cell r="AD51">
            <v>350109.17</v>
          </cell>
          <cell r="AE51">
            <v>0</v>
          </cell>
          <cell r="AF51">
            <v>0.006545</v>
          </cell>
          <cell r="AG51" t="str">
            <v>cubic meter</v>
          </cell>
          <cell r="AH51" t="str">
            <v>Standard</v>
          </cell>
          <cell r="AI51">
            <v>0.157092</v>
          </cell>
          <cell r="AJ51" t="str">
            <v>JP</v>
          </cell>
          <cell r="AK51" t="str">
            <v>gl_home_improvement</v>
          </cell>
          <cell r="AL51">
            <v>115001</v>
          </cell>
        </row>
        <row r="51">
          <cell r="AN51">
            <v>24</v>
          </cell>
        </row>
        <row r="51">
          <cell r="AQ51">
            <v>129410</v>
          </cell>
        </row>
        <row r="51">
          <cell r="AV51">
            <v>0</v>
          </cell>
          <cell r="AW51">
            <v>0</v>
          </cell>
          <cell r="AX51">
            <v>0</v>
          </cell>
          <cell r="AY51">
            <v>24</v>
          </cell>
          <cell r="AZ51">
            <v>0</v>
          </cell>
          <cell r="BA51">
            <v>744.67</v>
          </cell>
          <cell r="BB51">
            <v>0</v>
          </cell>
          <cell r="BC51">
            <v>0</v>
          </cell>
          <cell r="BD51">
            <v>0</v>
          </cell>
          <cell r="BE51">
            <v>0</v>
          </cell>
          <cell r="BF51">
            <v>0</v>
          </cell>
          <cell r="BG51">
            <v>0</v>
          </cell>
        </row>
        <row r="51">
          <cell r="BP51">
            <v>1448.5</v>
          </cell>
          <cell r="BQ51">
            <v>0</v>
          </cell>
        </row>
        <row r="51">
          <cell r="BS51">
            <v>46181</v>
          </cell>
          <cell r="BT51" t="str">
            <v>是</v>
          </cell>
          <cell r="BU51" t="str">
            <v>否</v>
          </cell>
          <cell r="BV51">
            <v>1448.5</v>
          </cell>
          <cell r="BW51">
            <v>1281.2</v>
          </cell>
          <cell r="BX51">
            <v>46183</v>
          </cell>
          <cell r="BY51">
            <v>24</v>
          </cell>
          <cell r="BZ51">
            <v>0</v>
          </cell>
          <cell r="CA51">
            <v>0</v>
          </cell>
          <cell r="CB51">
            <v>0</v>
          </cell>
          <cell r="CC51">
            <v>0</v>
          </cell>
        </row>
        <row r="51">
          <cell r="CE51" t="str">
            <v>--</v>
          </cell>
          <cell r="CF51" t="str">
            <v>N</v>
          </cell>
        </row>
        <row r="52">
          <cell r="A52" t="str">
            <v>X0012J6IVD</v>
          </cell>
          <cell r="B52" t="str">
            <v>Amazon JP</v>
          </cell>
          <cell r="C52" t="str">
            <v>magic-1-sp</v>
          </cell>
          <cell r="D52" t="str">
            <v>X0012J6IVD</v>
          </cell>
          <cell r="E52" t="str">
            <v>B0BN8BSWXQ</v>
          </cell>
          <cell r="F52" t="str">
            <v>3DMakerpro Magic Swift Plus 3Dスキャナ― ハンドスキャナー 解像度0.25mm 10FPS 超軽量 PCに対応 赤外線</v>
          </cell>
          <cell r="G52" t="str">
            <v>New</v>
          </cell>
          <cell r="H52">
            <v>2</v>
          </cell>
          <cell r="I52">
            <v>0</v>
          </cell>
          <cell r="J52">
            <v>1</v>
          </cell>
          <cell r="K52">
            <v>1</v>
          </cell>
          <cell r="L52">
            <v>0</v>
          </cell>
          <cell r="M52">
            <v>0</v>
          </cell>
          <cell r="N52">
            <v>0</v>
          </cell>
          <cell r="O52" t="str">
            <v>JPY</v>
          </cell>
          <cell r="P52">
            <v>0</v>
          </cell>
          <cell r="Q52">
            <v>0</v>
          </cell>
          <cell r="R52">
            <v>0</v>
          </cell>
          <cell r="S52">
            <v>0</v>
          </cell>
          <cell r="T52" t="str">
            <v>Low traffic</v>
          </cell>
          <cell r="U52">
            <v>124171</v>
          </cell>
          <cell r="V52">
            <v>0</v>
          </cell>
          <cell r="W52">
            <v>124171</v>
          </cell>
          <cell r="X52">
            <v>0</v>
          </cell>
          <cell r="Y52" t="str">
            <v>推广商品</v>
          </cell>
          <cell r="Z52">
            <v>0</v>
          </cell>
          <cell r="AA52">
            <v>0</v>
          </cell>
          <cell r="AB52">
            <v>0</v>
          </cell>
          <cell r="AC52">
            <v>0</v>
          </cell>
          <cell r="AD52">
            <v>200823.61</v>
          </cell>
          <cell r="AE52">
            <v>0</v>
          </cell>
          <cell r="AF52">
            <v>0.016705</v>
          </cell>
          <cell r="AG52" t="str">
            <v>cubic meter</v>
          </cell>
          <cell r="AH52" t="str">
            <v>Oversize</v>
          </cell>
          <cell r="AI52">
            <v>0.033411</v>
          </cell>
          <cell r="AJ52" t="str">
            <v>JP</v>
          </cell>
          <cell r="AK52" t="str">
            <v>gl_home_improvement</v>
          </cell>
          <cell r="AL52">
            <v>193141</v>
          </cell>
          <cell r="AM52">
            <v>366</v>
          </cell>
          <cell r="AN52">
            <v>2</v>
          </cell>
        </row>
        <row r="52">
          <cell r="AQ52">
            <v>124171</v>
          </cell>
          <cell r="AR52">
            <v>0</v>
          </cell>
          <cell r="AS52">
            <v>0</v>
          </cell>
          <cell r="AT52">
            <v>0</v>
          </cell>
          <cell r="AU52">
            <v>0</v>
          </cell>
          <cell r="AV52">
            <v>0</v>
          </cell>
          <cell r="AW52">
            <v>0</v>
          </cell>
          <cell r="AX52">
            <v>1</v>
          </cell>
          <cell r="AY52">
            <v>0</v>
          </cell>
          <cell r="AZ52">
            <v>0</v>
          </cell>
          <cell r="BA52">
            <v>91.47</v>
          </cell>
          <cell r="BB52">
            <v>0</v>
          </cell>
          <cell r="BC52">
            <v>0</v>
          </cell>
          <cell r="BD52">
            <v>0</v>
          </cell>
          <cell r="BE52">
            <v>0</v>
          </cell>
          <cell r="BF52">
            <v>0</v>
          </cell>
          <cell r="BG52">
            <v>0</v>
          </cell>
        </row>
        <row r="52">
          <cell r="BQ52">
            <v>0</v>
          </cell>
        </row>
        <row r="52">
          <cell r="BW52">
            <v>178</v>
          </cell>
          <cell r="BX52">
            <v>46183</v>
          </cell>
          <cell r="BY52">
            <v>2</v>
          </cell>
          <cell r="BZ52">
            <v>0</v>
          </cell>
          <cell r="CA52">
            <v>0</v>
          </cell>
          <cell r="CB52">
            <v>0</v>
          </cell>
          <cell r="CC52">
            <v>0</v>
          </cell>
          <cell r="CD52">
            <v>366</v>
          </cell>
          <cell r="CE52" t="str">
            <v>--</v>
          </cell>
          <cell r="CF52" t="str">
            <v>N</v>
          </cell>
        </row>
        <row r="53">
          <cell r="A53" t="str">
            <v>X0018F9KCP</v>
          </cell>
          <cell r="B53" t="str">
            <v>Amazon JP</v>
          </cell>
          <cell r="C53" t="str">
            <v>JP-Turntable -1</v>
          </cell>
          <cell r="D53" t="str">
            <v>X0018F9KCP</v>
          </cell>
          <cell r="E53" t="str">
            <v>B0DGXK1LK8</v>
          </cell>
          <cell r="F53" t="str">
            <v>3DMakerpro 3Dスキャナー ターンテーブル 適用モデル Seal、Seal lite、Moose、 Moose lite</v>
          </cell>
          <cell r="G53" t="str">
            <v>New</v>
          </cell>
          <cell r="H53">
            <v>15</v>
          </cell>
          <cell r="I53">
            <v>0</v>
          </cell>
          <cell r="J53">
            <v>0</v>
          </cell>
          <cell r="K53">
            <v>15</v>
          </cell>
          <cell r="L53">
            <v>0</v>
          </cell>
          <cell r="M53">
            <v>0</v>
          </cell>
          <cell r="N53">
            <v>0</v>
          </cell>
          <cell r="O53" t="str">
            <v>JPY</v>
          </cell>
          <cell r="P53">
            <v>0</v>
          </cell>
          <cell r="Q53">
            <v>1</v>
          </cell>
          <cell r="R53">
            <v>3</v>
          </cell>
          <cell r="S53">
            <v>6</v>
          </cell>
          <cell r="T53" t="str">
            <v>Low traffic</v>
          </cell>
          <cell r="U53">
            <v>4936</v>
          </cell>
          <cell r="V53">
            <v>0</v>
          </cell>
          <cell r="W53">
            <v>3949</v>
          </cell>
          <cell r="X53">
            <v>0</v>
          </cell>
          <cell r="Y53" t="str">
            <v>NoRestockExcessActionRequired</v>
          </cell>
          <cell r="Z53">
            <v>5</v>
          </cell>
          <cell r="AA53">
            <v>0</v>
          </cell>
          <cell r="AB53">
            <v>0</v>
          </cell>
          <cell r="AC53">
            <v>0</v>
          </cell>
          <cell r="AD53">
            <v>68172.01</v>
          </cell>
          <cell r="AE53">
            <v>0.34</v>
          </cell>
          <cell r="AF53">
            <v>0.004772</v>
          </cell>
          <cell r="AG53" t="str">
            <v>cubic meter</v>
          </cell>
          <cell r="AH53" t="str">
            <v>Standard</v>
          </cell>
          <cell r="AI53">
            <v>0.071582</v>
          </cell>
          <cell r="AJ53" t="str">
            <v>JP</v>
          </cell>
          <cell r="AK53" t="str">
            <v>gl_home_improvement</v>
          </cell>
          <cell r="AL53">
            <v>91334</v>
          </cell>
          <cell r="AM53">
            <v>192</v>
          </cell>
          <cell r="AN53">
            <v>10</v>
          </cell>
          <cell r="AO53">
            <v>60</v>
          </cell>
          <cell r="AP53">
            <v>32</v>
          </cell>
          <cell r="AQ53">
            <v>3949</v>
          </cell>
          <cell r="AR53">
            <v>0</v>
          </cell>
          <cell r="AS53">
            <v>3590</v>
          </cell>
          <cell r="AT53">
            <v>11944</v>
          </cell>
          <cell r="AU53">
            <v>25405</v>
          </cell>
          <cell r="AV53">
            <v>0</v>
          </cell>
          <cell r="AW53">
            <v>0</v>
          </cell>
          <cell r="AX53">
            <v>0</v>
          </cell>
          <cell r="AY53">
            <v>0</v>
          </cell>
          <cell r="AZ53">
            <v>0</v>
          </cell>
          <cell r="BA53">
            <v>339.33</v>
          </cell>
          <cell r="BB53">
            <v>0</v>
          </cell>
          <cell r="BC53">
            <v>0</v>
          </cell>
          <cell r="BD53">
            <v>0</v>
          </cell>
          <cell r="BE53">
            <v>0</v>
          </cell>
          <cell r="BF53">
            <v>0</v>
          </cell>
          <cell r="BG53">
            <v>0</v>
          </cell>
        </row>
        <row r="53">
          <cell r="BP53">
            <v>476</v>
          </cell>
          <cell r="BQ53">
            <v>0</v>
          </cell>
        </row>
        <row r="53">
          <cell r="BS53">
            <v>46181</v>
          </cell>
          <cell r="BT53" t="str">
            <v>是</v>
          </cell>
          <cell r="BU53" t="str">
            <v>否</v>
          </cell>
          <cell r="BV53">
            <v>476</v>
          </cell>
          <cell r="BW53">
            <v>260.7</v>
          </cell>
          <cell r="BX53">
            <v>46183</v>
          </cell>
          <cell r="BY53">
            <v>15</v>
          </cell>
          <cell r="BZ53">
            <v>0</v>
          </cell>
          <cell r="CA53">
            <v>0</v>
          </cell>
          <cell r="CB53">
            <v>0</v>
          </cell>
          <cell r="CC53">
            <v>0</v>
          </cell>
          <cell r="CD53">
            <v>192</v>
          </cell>
          <cell r="CE53" t="str">
            <v>--</v>
          </cell>
          <cell r="CF53" t="str">
            <v>N</v>
          </cell>
        </row>
        <row r="54">
          <cell r="A54" t="str">
            <v>X001BHIM79</v>
          </cell>
          <cell r="B54" t="str">
            <v>Amazon JP</v>
          </cell>
          <cell r="C54" t="str">
            <v>seal- Standard -jp-3</v>
          </cell>
          <cell r="D54" t="str">
            <v>X001BHIM79</v>
          </cell>
          <cell r="E54" t="str">
            <v>B0FQ5NVY1H</v>
          </cell>
          <cell r="F54" t="str">
            <v>3Dmakerpro Seal 3Dスキャナー0.01mm精度/24ビットカラーカメラ/10FPSスキャン速度/手ぶれ補正機能対応、Android/iOS/Win10/macOS用3Dプリンター向け3Dモデルスキャナー(標準版)</v>
          </cell>
          <cell r="G54" t="str">
            <v>New</v>
          </cell>
          <cell r="H54">
            <v>31</v>
          </cell>
          <cell r="I54">
            <v>0</v>
          </cell>
          <cell r="J54">
            <v>17</v>
          </cell>
          <cell r="K54">
            <v>0</v>
          </cell>
          <cell r="L54">
            <v>14</v>
          </cell>
          <cell r="M54">
            <v>0</v>
          </cell>
          <cell r="N54">
            <v>0</v>
          </cell>
          <cell r="O54" t="str">
            <v>JPY</v>
          </cell>
          <cell r="P54">
            <v>0</v>
          </cell>
          <cell r="Q54">
            <v>0</v>
          </cell>
          <cell r="R54">
            <v>0</v>
          </cell>
          <cell r="S54">
            <v>0</v>
          </cell>
          <cell r="T54" t="str">
            <v>Low traffic</v>
          </cell>
          <cell r="U54">
            <v>119900</v>
          </cell>
          <cell r="V54">
            <v>0</v>
          </cell>
          <cell r="W54">
            <v>119900</v>
          </cell>
          <cell r="X54">
            <v>0</v>
          </cell>
          <cell r="Y54" t="str">
            <v>创建移除订单</v>
          </cell>
          <cell r="Z54">
            <v>0</v>
          </cell>
          <cell r="AA54">
            <v>101915</v>
          </cell>
          <cell r="AB54">
            <v>52</v>
          </cell>
          <cell r="AC54">
            <v>0</v>
          </cell>
          <cell r="AD54">
            <v>2276793.47</v>
          </cell>
          <cell r="AE54">
            <v>0</v>
          </cell>
          <cell r="AF54">
            <v>0.012992</v>
          </cell>
          <cell r="AG54" t="str">
            <v>cubic meter</v>
          </cell>
          <cell r="AH54" t="str">
            <v>Standard</v>
          </cell>
          <cell r="AI54">
            <v>0.402752</v>
          </cell>
          <cell r="AJ54" t="str">
            <v>JP</v>
          </cell>
          <cell r="AK54" t="str">
            <v>gl_pc</v>
          </cell>
          <cell r="AL54">
            <v>108647</v>
          </cell>
          <cell r="AM54">
            <v>366</v>
          </cell>
          <cell r="AN54">
            <v>31</v>
          </cell>
        </row>
        <row r="54">
          <cell r="AQ54">
            <v>119900</v>
          </cell>
          <cell r="AR54">
            <v>0</v>
          </cell>
          <cell r="AS54">
            <v>0</v>
          </cell>
          <cell r="AT54">
            <v>0</v>
          </cell>
          <cell r="AU54">
            <v>0</v>
          </cell>
          <cell r="AV54">
            <v>0</v>
          </cell>
          <cell r="AW54">
            <v>17</v>
          </cell>
          <cell r="AX54">
            <v>0</v>
          </cell>
          <cell r="AY54">
            <v>14</v>
          </cell>
          <cell r="AZ54">
            <v>0</v>
          </cell>
          <cell r="BA54">
            <v>1909.19</v>
          </cell>
          <cell r="BB54">
            <v>0</v>
          </cell>
          <cell r="BC54">
            <v>0</v>
          </cell>
          <cell r="BD54">
            <v>0</v>
          </cell>
          <cell r="BE54">
            <v>0</v>
          </cell>
          <cell r="BF54">
            <v>0</v>
          </cell>
          <cell r="BG54">
            <v>0</v>
          </cell>
        </row>
        <row r="54">
          <cell r="BP54">
            <v>2184</v>
          </cell>
          <cell r="BQ54">
            <v>0</v>
          </cell>
        </row>
        <row r="54">
          <cell r="BS54">
            <v>46181</v>
          </cell>
          <cell r="BT54" t="str">
            <v>是</v>
          </cell>
          <cell r="BU54" t="str">
            <v>否</v>
          </cell>
          <cell r="BV54">
            <v>1613</v>
          </cell>
          <cell r="BW54">
            <v>2184</v>
          </cell>
          <cell r="BX54">
            <v>46183</v>
          </cell>
          <cell r="BY54">
            <v>31</v>
          </cell>
          <cell r="BZ54">
            <v>0</v>
          </cell>
          <cell r="CA54">
            <v>0</v>
          </cell>
          <cell r="CB54">
            <v>0</v>
          </cell>
          <cell r="CC54">
            <v>0</v>
          </cell>
          <cell r="CD54">
            <v>366</v>
          </cell>
          <cell r="CE54" t="str">
            <v>--</v>
          </cell>
          <cell r="CF54" t="str">
            <v>N</v>
          </cell>
        </row>
        <row r="55">
          <cell r="A55" t="str">
            <v>X001BHJXO5</v>
          </cell>
          <cell r="B55" t="str">
            <v>Amazon JP</v>
          </cell>
          <cell r="C55" t="str">
            <v>seal-Premium-jp-3</v>
          </cell>
          <cell r="D55" t="str">
            <v>X001BHJXO5</v>
          </cell>
          <cell r="E55" t="str">
            <v>B0FQ5NN4MM</v>
          </cell>
          <cell r="F55" t="str">
            <v>3Dmakerpro 3DスキャナーSeal小型3Dプリント用スキャナー ブルーLED光源 0.01mm精度 24ビットフルカラースキャン（アップグレード版）</v>
          </cell>
          <cell r="G55" t="str">
            <v>New</v>
          </cell>
          <cell r="H55">
            <v>21</v>
          </cell>
          <cell r="I55">
            <v>0</v>
          </cell>
          <cell r="J55">
            <v>0</v>
          </cell>
          <cell r="K55">
            <v>21</v>
          </cell>
          <cell r="L55">
            <v>0</v>
          </cell>
          <cell r="M55">
            <v>0</v>
          </cell>
          <cell r="N55">
            <v>0</v>
          </cell>
          <cell r="O55" t="str">
            <v>JPY</v>
          </cell>
          <cell r="P55">
            <v>0</v>
          </cell>
          <cell r="Q55">
            <v>1</v>
          </cell>
          <cell r="R55">
            <v>1</v>
          </cell>
          <cell r="S55">
            <v>2</v>
          </cell>
          <cell r="T55" t="str">
            <v>Low traffic</v>
          </cell>
          <cell r="U55">
            <v>130200</v>
          </cell>
          <cell r="V55">
            <v>0</v>
          </cell>
          <cell r="W55">
            <v>130200</v>
          </cell>
          <cell r="X55">
            <v>0</v>
          </cell>
          <cell r="Y55" t="str">
            <v>NoRestockExcessActionRequired</v>
          </cell>
          <cell r="Z55">
            <v>0</v>
          </cell>
          <cell r="AA55">
            <v>108612.08</v>
          </cell>
          <cell r="AB55">
            <v>52</v>
          </cell>
          <cell r="AC55">
            <v>0</v>
          </cell>
          <cell r="AD55">
            <v>1578286.8</v>
          </cell>
          <cell r="AE55">
            <v>0.08</v>
          </cell>
          <cell r="AF55">
            <v>0.012992</v>
          </cell>
          <cell r="AG55" t="str">
            <v>cubic meter</v>
          </cell>
          <cell r="AH55" t="str">
            <v>Standard</v>
          </cell>
          <cell r="AI55">
            <v>0.272832</v>
          </cell>
          <cell r="AJ55" t="str">
            <v>JP</v>
          </cell>
          <cell r="AK55" t="str">
            <v>gl_pc</v>
          </cell>
          <cell r="AL55">
            <v>108647</v>
          </cell>
          <cell r="AM55">
            <v>366</v>
          </cell>
          <cell r="AN55">
            <v>21</v>
          </cell>
          <cell r="AO55">
            <v>84</v>
          </cell>
          <cell r="AP55">
            <v>136</v>
          </cell>
          <cell r="AQ55">
            <v>123690</v>
          </cell>
          <cell r="AR55">
            <v>0</v>
          </cell>
          <cell r="AS55">
            <v>100609</v>
          </cell>
          <cell r="AT55">
            <v>100609</v>
          </cell>
          <cell r="AU55">
            <v>201218</v>
          </cell>
          <cell r="AV55">
            <v>0</v>
          </cell>
          <cell r="AW55">
            <v>0</v>
          </cell>
          <cell r="AX55">
            <v>0</v>
          </cell>
          <cell r="AY55">
            <v>0</v>
          </cell>
          <cell r="AZ55">
            <v>0</v>
          </cell>
          <cell r="BA55">
            <v>1293.32</v>
          </cell>
          <cell r="BB55">
            <v>0</v>
          </cell>
          <cell r="BC55">
            <v>0</v>
          </cell>
          <cell r="BD55">
            <v>0</v>
          </cell>
          <cell r="BE55">
            <v>0</v>
          </cell>
          <cell r="BF55">
            <v>0</v>
          </cell>
          <cell r="BG55">
            <v>0</v>
          </cell>
        </row>
        <row r="55">
          <cell r="BP55">
            <v>2184</v>
          </cell>
          <cell r="BQ55">
            <v>0</v>
          </cell>
        </row>
        <row r="55">
          <cell r="BS55">
            <v>46181</v>
          </cell>
          <cell r="BT55" t="str">
            <v>是</v>
          </cell>
          <cell r="BU55" t="str">
            <v>否</v>
          </cell>
          <cell r="BV55">
            <v>1613</v>
          </cell>
          <cell r="BW55">
            <v>2184</v>
          </cell>
          <cell r="BX55">
            <v>46183</v>
          </cell>
          <cell r="BY55">
            <v>21</v>
          </cell>
          <cell r="BZ55">
            <v>0</v>
          </cell>
          <cell r="CA55">
            <v>0</v>
          </cell>
          <cell r="CB55">
            <v>0</v>
          </cell>
          <cell r="CC55">
            <v>0</v>
          </cell>
          <cell r="CD55">
            <v>366</v>
          </cell>
          <cell r="CE55" t="str">
            <v>--</v>
          </cell>
          <cell r="CF55" t="str">
            <v>N</v>
          </cell>
        </row>
        <row r="56">
          <cell r="A56" t="str">
            <v>fnsku</v>
          </cell>
          <cell r="B56" t="str">
            <v>snapshot-date</v>
          </cell>
          <cell r="C56" t="str">
            <v>sku</v>
          </cell>
          <cell r="D56" t="str">
            <v>fnsku</v>
          </cell>
          <cell r="E56" t="str">
            <v>asin</v>
          </cell>
          <cell r="F56" t="str">
            <v>product-name</v>
          </cell>
          <cell r="G56" t="str">
            <v>condition</v>
          </cell>
          <cell r="H56" t="str">
            <v>available</v>
          </cell>
          <cell r="I56" t="str">
            <v>pending-removal-quantity</v>
          </cell>
          <cell r="J56" t="str">
            <v>inv-age-0-to-90-days</v>
          </cell>
          <cell r="K56" t="str">
            <v>inv-age-91-to-180-days</v>
          </cell>
          <cell r="L56" t="str">
            <v>inv-age-181-to-270-days</v>
          </cell>
          <cell r="M56" t="str">
            <v>inv-age-271-to-365-days</v>
          </cell>
          <cell r="N56" t="str">
            <v>inv-age-366-to-455-days</v>
          </cell>
          <cell r="O56" t="str">
            <v>inv-age-456-plus-days</v>
          </cell>
          <cell r="P56" t="str">
            <v>currency</v>
          </cell>
          <cell r="Q56" t="str">
            <v>units-shipped-t7</v>
          </cell>
          <cell r="R56" t="str">
            <v>units-shipped-t30</v>
          </cell>
          <cell r="S56" t="str">
            <v>units-shipped-t60</v>
          </cell>
          <cell r="T56" t="str">
            <v>units-shipped-t90</v>
          </cell>
          <cell r="U56" t="str">
            <v>alert</v>
          </cell>
          <cell r="V56" t="str">
            <v>your-price</v>
          </cell>
          <cell r="W56" t="str">
            <v>sales-price</v>
          </cell>
          <cell r="X56" t="str">
            <v>lowest-price-new-plus-shipping</v>
          </cell>
          <cell r="Y56" t="str">
            <v>lowest-price-used</v>
          </cell>
          <cell r="Z56" t="str">
            <v>recommended-action</v>
          </cell>
          <cell r="AA56" t="str">
            <v>healthy-inventory-level</v>
          </cell>
          <cell r="AB56" t="str">
            <v>recommended-sales-price</v>
          </cell>
          <cell r="AC56" t="str">
            <v>recommended-sale-duration-days</v>
          </cell>
          <cell r="AD56" t="str">
            <v>recommended-removal-quantity</v>
          </cell>
          <cell r="AE56" t="str">
            <v>estimated-cost-savings-of-recommended-actions</v>
          </cell>
          <cell r="AF56" t="str">
            <v>sell-through</v>
          </cell>
          <cell r="AG56" t="str">
            <v>item-volume</v>
          </cell>
          <cell r="AH56" t="str">
            <v>volume-unit-measurement</v>
          </cell>
          <cell r="AI56" t="str">
            <v>storage-type</v>
          </cell>
          <cell r="AJ56" t="str">
            <v>storage-volume</v>
          </cell>
          <cell r="AK56" t="str">
            <v>marketplace</v>
          </cell>
          <cell r="AL56" t="str">
            <v>product-group</v>
          </cell>
          <cell r="AM56" t="str">
            <v>sales-rank</v>
          </cell>
          <cell r="AN56" t="str">
            <v>days-of-supply</v>
          </cell>
          <cell r="AO56" t="str">
            <v>estimated-excess-quantity</v>
          </cell>
          <cell r="AP56" t="str">
            <v>weeks-of-cover-t30</v>
          </cell>
          <cell r="AQ56" t="str">
            <v>weeks-of-cover-t90</v>
          </cell>
          <cell r="AR56" t="str">
            <v>featuredoffer-price</v>
          </cell>
          <cell r="AS56" t="str">
            <v>sales-shipped-last-7-days</v>
          </cell>
          <cell r="AT56" t="str">
            <v>sales-shipped-last-30-days</v>
          </cell>
          <cell r="AU56" t="str">
            <v>sales-shipped-last-60-days</v>
          </cell>
          <cell r="AV56" t="str">
            <v>sales-shipped-last-90-days</v>
          </cell>
          <cell r="AW56" t="str">
            <v>inv-age-0-to-30-days</v>
          </cell>
          <cell r="AX56" t="str">
            <v>inv-age-31-to-60-days</v>
          </cell>
          <cell r="AY56" t="str">
            <v>inv-age-61-to-90-days</v>
          </cell>
          <cell r="AZ56" t="str">
            <v>inv-age-181-to-330-days</v>
          </cell>
          <cell r="BA56" t="str">
            <v>inv-age-331-to-365-days</v>
          </cell>
          <cell r="BB56" t="str">
            <v>estimated-storage-cost-next-month</v>
          </cell>
          <cell r="BC56" t="str">
            <v>inbound-quantity</v>
          </cell>
          <cell r="BD56" t="str">
            <v>inbound-working</v>
          </cell>
          <cell r="BE56" t="str">
            <v>inbound-shipped</v>
          </cell>
          <cell r="BF56" t="str">
            <v>inbound-received</v>
          </cell>
          <cell r="BG56" t="str">
            <v>Total Reserved Quantity</v>
          </cell>
          <cell r="BH56" t="str">
            <v>unfulfillable-quantity</v>
          </cell>
          <cell r="BI56" t="str">
            <v>quantity-to-be-charged-ais-241-270-days</v>
          </cell>
          <cell r="BJ56" t="str">
            <v>estimated-ais-241-270-days</v>
          </cell>
          <cell r="BK56" t="str">
            <v>quantity-to-be-charged-ais-271-300-days</v>
          </cell>
          <cell r="BL56" t="str">
            <v>estimated-ais-271-300-days</v>
          </cell>
          <cell r="BM56" t="str">
            <v>quantity-to-be-charged-ais-301-330-days</v>
          </cell>
          <cell r="BN56" t="str">
            <v>estimated-ais-301-330-days</v>
          </cell>
          <cell r="BO56" t="str">
            <v>quantity-to-be-charged-ais-331-365-days</v>
          </cell>
          <cell r="BP56" t="str">
            <v>estimated-ais-331-365-days</v>
          </cell>
          <cell r="BQ56" t="str">
            <v>quantity-to-be-charged-ais-366-455-days</v>
          </cell>
          <cell r="BR56" t="str">
            <v>estimated-ais-366-455-days</v>
          </cell>
          <cell r="BS56" t="str">
            <v>quantity-to-be-charged-ais-456-plus-days</v>
          </cell>
          <cell r="BT56" t="str">
            <v>estimated-ais-456-plus-days</v>
          </cell>
          <cell r="BU56" t="str">
            <v>historical-days-of-supply</v>
          </cell>
          <cell r="BV56" t="str">
            <v>fba-minimum-inventory-level</v>
          </cell>
          <cell r="BW56" t="str">
            <v>fba-inventory-level-health-status</v>
          </cell>
          <cell r="BX56" t="str">
            <v>Recommended ship-in quantity</v>
          </cell>
          <cell r="BY56" t="str">
            <v>Recommended ship-in date</v>
          </cell>
          <cell r="BZ56" t="str">
            <v>Last updated date for Historical Days of Supply</v>
          </cell>
          <cell r="CA56" t="str">
            <v>Exempted from Low-Inventory cost coverage fee?</v>
          </cell>
          <cell r="CB56" t="str">
            <v>Low-Inventory cost coverage fee applied in current week?</v>
          </cell>
          <cell r="CC56" t="str">
            <v>Short term historical days of supply</v>
          </cell>
          <cell r="CD56" t="str">
            <v>Long term historical days of supply</v>
          </cell>
          <cell r="CE56" t="str">
            <v>Inventory age snapshot date</v>
          </cell>
          <cell r="CF56" t="str">
            <v>Inventory Supply at FBA</v>
          </cell>
          <cell r="CG56" t="str">
            <v>Reserved FC Transfer</v>
          </cell>
          <cell r="CH56" t="str">
            <v>Reserved FC Processing</v>
          </cell>
          <cell r="CI56" t="str">
            <v>Reserved Customer Order</v>
          </cell>
          <cell r="CJ56" t="str">
            <v>Reserved Staging</v>
          </cell>
          <cell r="CK56" t="str">
            <v>Total Days of Supply (including units from open shipments)</v>
          </cell>
          <cell r="CL56" t="str">
            <v>is-seasonal-in-next-3-months</v>
          </cell>
          <cell r="CM56" t="str">
            <v>season-name</v>
          </cell>
          <cell r="CN56" t="str">
            <v>season-start-date</v>
          </cell>
        </row>
        <row r="57">
          <cell r="A57" t="str">
            <v>X0020EENQT</v>
          </cell>
          <cell r="B57" t="str">
            <v>Amazon DE</v>
          </cell>
          <cell r="C57" t="str">
            <v>EU Moose Lite Premium</v>
          </cell>
          <cell r="D57" t="str">
            <v>X0020EENQT</v>
          </cell>
          <cell r="E57" t="str">
            <v>B0D2HGCT9Y</v>
          </cell>
          <cell r="F57" t="str">
            <v>3DMakerpro 3D-Scanner für 3D-Drucker und Reverse Engineering: Moose Lite Premium-Set mit automatischem Drehteller und Stativ, 0,05 mm Präzision, NIR-Lichtquelle, Handscanner für Windows/macOS</v>
          </cell>
          <cell r="G57" t="str">
            <v>New</v>
          </cell>
          <cell r="H57">
            <v>20</v>
          </cell>
          <cell r="I57">
            <v>0</v>
          </cell>
          <cell r="J57">
            <v>2</v>
          </cell>
          <cell r="K57">
            <v>19</v>
          </cell>
          <cell r="L57">
            <v>0</v>
          </cell>
          <cell r="M57">
            <v>0</v>
          </cell>
          <cell r="N57">
            <v>0</v>
          </cell>
          <cell r="O57">
            <v>0</v>
          </cell>
          <cell r="P57" t="str">
            <v>EUR</v>
          </cell>
          <cell r="Q57">
            <v>2</v>
          </cell>
          <cell r="R57">
            <v>15</v>
          </cell>
          <cell r="S57">
            <v>19</v>
          </cell>
          <cell r="T57">
            <v>26</v>
          </cell>
        </row>
        <row r="57">
          <cell r="V57">
            <v>499.99</v>
          </cell>
          <cell r="W57">
            <v>429.99</v>
          </cell>
          <cell r="X57">
            <v>429.99</v>
          </cell>
          <cell r="Y57">
            <v>0</v>
          </cell>
          <cell r="Z57" t="str">
            <v>NoRestockExcessActionRequired</v>
          </cell>
          <cell r="AA57">
            <v>20</v>
          </cell>
          <cell r="AB57">
            <v>0</v>
          </cell>
          <cell r="AC57">
            <v>0</v>
          </cell>
          <cell r="AD57">
            <v>0</v>
          </cell>
          <cell r="AE57">
            <v>8.83</v>
          </cell>
          <cell r="AF57">
            <v>0.72</v>
          </cell>
          <cell r="AG57">
            <v>0.00702</v>
          </cell>
          <cell r="AH57" t="str">
            <v>cubic meter</v>
          </cell>
          <cell r="AI57" t="str">
            <v>Standard</v>
          </cell>
          <cell r="AJ57">
            <v>0.1404</v>
          </cell>
          <cell r="AK57" t="str">
            <v>DE</v>
          </cell>
          <cell r="AL57" t="str">
            <v>gl_biss</v>
          </cell>
          <cell r="AM57">
            <v>23959</v>
          </cell>
          <cell r="AN57">
            <v>102</v>
          </cell>
          <cell r="AO57">
            <v>0</v>
          </cell>
          <cell r="AP57">
            <v>5</v>
          </cell>
          <cell r="AQ57">
            <v>10</v>
          </cell>
          <cell r="AR57">
            <v>429.99</v>
          </cell>
          <cell r="AS57">
            <v>722.68</v>
          </cell>
          <cell r="AT57">
            <v>5099.55</v>
          </cell>
          <cell r="AU57">
            <v>6886.31</v>
          </cell>
          <cell r="AV57">
            <v>9192.62</v>
          </cell>
          <cell r="AW57">
            <v>1</v>
          </cell>
          <cell r="AX57">
            <v>0</v>
          </cell>
          <cell r="AY57">
            <v>1</v>
          </cell>
          <cell r="AZ57">
            <v>0</v>
          </cell>
          <cell r="BA57">
            <v>0</v>
          </cell>
          <cell r="BB57">
            <v>7.02</v>
          </cell>
          <cell r="BC57">
            <v>0</v>
          </cell>
          <cell r="BD57">
            <v>0</v>
          </cell>
          <cell r="BE57">
            <v>0</v>
          </cell>
          <cell r="BF57">
            <v>0</v>
          </cell>
          <cell r="BG57">
            <v>1</v>
          </cell>
          <cell r="BH57">
            <v>1</v>
          </cell>
        </row>
        <row r="57">
          <cell r="BU57">
            <v>133.3</v>
          </cell>
          <cell r="BV57">
            <v>15</v>
          </cell>
        </row>
        <row r="57">
          <cell r="BX57">
            <v>4</v>
          </cell>
          <cell r="BY57">
            <v>46191</v>
          </cell>
          <cell r="BZ57">
            <v>46181</v>
          </cell>
          <cell r="CA57" t="str">
            <v>Yes</v>
          </cell>
          <cell r="CB57" t="str">
            <v>No</v>
          </cell>
          <cell r="CC57">
            <v>60.3</v>
          </cell>
          <cell r="CD57">
            <v>133.3</v>
          </cell>
          <cell r="CE57">
            <v>46183</v>
          </cell>
          <cell r="CF57">
            <v>20</v>
          </cell>
          <cell r="CG57">
            <v>0</v>
          </cell>
          <cell r="CH57">
            <v>1</v>
          </cell>
          <cell r="CI57">
            <v>0</v>
          </cell>
          <cell r="CJ57">
            <v>0</v>
          </cell>
          <cell r="CK57">
            <v>106</v>
          </cell>
          <cell r="CL57" t="str">
            <v>N</v>
          </cell>
        </row>
        <row r="58">
          <cell r="A58" t="str">
            <v>X0025X13BN</v>
          </cell>
          <cell r="B58" t="str">
            <v>Amazon DE</v>
          </cell>
          <cell r="C58" t="str">
            <v>t-01</v>
          </cell>
          <cell r="D58" t="str">
            <v>X0025X13BN</v>
          </cell>
          <cell r="E58" t="str">
            <v>B0CK126CK7</v>
          </cell>
          <cell r="F58" t="str">
            <v>3DMakerpro Elektronischer Drehteller Kit – 360° Automatischer Rotationsteller Zubehör für 3D-Scanner, Kompatibel mit Moose, Moose Lite, Seal und Seal Lite Serie</v>
          </cell>
          <cell r="G58" t="str">
            <v>New</v>
          </cell>
          <cell r="H58">
            <v>20</v>
          </cell>
          <cell r="I58">
            <v>0</v>
          </cell>
          <cell r="J58">
            <v>1</v>
          </cell>
          <cell r="K58">
            <v>20</v>
          </cell>
          <cell r="L58">
            <v>0</v>
          </cell>
          <cell r="M58">
            <v>0</v>
          </cell>
          <cell r="N58">
            <v>0</v>
          </cell>
          <cell r="O58">
            <v>0</v>
          </cell>
          <cell r="P58" t="str">
            <v>EUR</v>
          </cell>
          <cell r="Q58">
            <v>2</v>
          </cell>
          <cell r="R58">
            <v>6</v>
          </cell>
          <cell r="S58">
            <v>11</v>
          </cell>
          <cell r="T58">
            <v>19</v>
          </cell>
          <cell r="U58" t="str">
            <v>Low traffic</v>
          </cell>
          <cell r="V58">
            <v>29.99</v>
          </cell>
          <cell r="W58">
            <v>0</v>
          </cell>
          <cell r="X58">
            <v>29.99</v>
          </cell>
          <cell r="Y58">
            <v>24.87</v>
          </cell>
          <cell r="Z58" t="str">
            <v>NoExcessInventory</v>
          </cell>
          <cell r="AA58">
            <v>20</v>
          </cell>
          <cell r="AB58">
            <v>0</v>
          </cell>
          <cell r="AC58">
            <v>0</v>
          </cell>
          <cell r="AD58">
            <v>0</v>
          </cell>
          <cell r="AE58">
            <v>0</v>
          </cell>
          <cell r="AF58">
            <v>0.64</v>
          </cell>
          <cell r="AG58">
            <v>0.004872</v>
          </cell>
          <cell r="AH58" t="str">
            <v>cubic meter</v>
          </cell>
          <cell r="AI58" t="str">
            <v>Standard</v>
          </cell>
          <cell r="AJ58">
            <v>0.09744</v>
          </cell>
          <cell r="AK58" t="str">
            <v>DE</v>
          </cell>
          <cell r="AL58" t="str">
            <v>gl_biss</v>
          </cell>
        </row>
        <row r="58">
          <cell r="AN58">
            <v>98</v>
          </cell>
          <cell r="AO58">
            <v>0</v>
          </cell>
          <cell r="AP58">
            <v>13</v>
          </cell>
          <cell r="AQ58">
            <v>13</v>
          </cell>
          <cell r="AR58">
            <v>29.99</v>
          </cell>
          <cell r="AS58">
            <v>50.4</v>
          </cell>
          <cell r="AT58">
            <v>149.54</v>
          </cell>
          <cell r="AU58">
            <v>271.39</v>
          </cell>
          <cell r="AV58">
            <v>472.71</v>
          </cell>
          <cell r="AW58">
            <v>0</v>
          </cell>
          <cell r="AX58">
            <v>0</v>
          </cell>
          <cell r="AY58">
            <v>1</v>
          </cell>
          <cell r="AZ58">
            <v>0</v>
          </cell>
          <cell r="BA58">
            <v>0</v>
          </cell>
          <cell r="BB58">
            <v>4.44</v>
          </cell>
          <cell r="BC58">
            <v>0</v>
          </cell>
          <cell r="BD58">
            <v>0</v>
          </cell>
          <cell r="BE58">
            <v>0</v>
          </cell>
          <cell r="BF58">
            <v>0</v>
          </cell>
          <cell r="BG58">
            <v>0</v>
          </cell>
          <cell r="BH58">
            <v>0</v>
          </cell>
        </row>
        <row r="58">
          <cell r="BU58">
            <v>183.3</v>
          </cell>
          <cell r="BV58">
            <v>15</v>
          </cell>
        </row>
        <row r="58">
          <cell r="BX58">
            <v>3</v>
          </cell>
          <cell r="BY58">
            <v>46191</v>
          </cell>
          <cell r="BZ58">
            <v>46181</v>
          </cell>
          <cell r="CA58" t="str">
            <v>Yes</v>
          </cell>
          <cell r="CB58" t="str">
            <v>No</v>
          </cell>
          <cell r="CC58">
            <v>183.3</v>
          </cell>
          <cell r="CD58">
            <v>140.3</v>
          </cell>
          <cell r="CE58">
            <v>46183</v>
          </cell>
          <cell r="CF58">
            <v>20</v>
          </cell>
          <cell r="CG58">
            <v>0</v>
          </cell>
          <cell r="CH58">
            <v>0</v>
          </cell>
          <cell r="CI58">
            <v>0</v>
          </cell>
          <cell r="CJ58">
            <v>0</v>
          </cell>
          <cell r="CK58">
            <v>98</v>
          </cell>
          <cell r="CL58" t="str">
            <v>N</v>
          </cell>
        </row>
        <row r="59">
          <cell r="A59" t="str">
            <v>X0026KO6F5</v>
          </cell>
          <cell r="B59" t="str">
            <v>Amazon DE</v>
          </cell>
          <cell r="C59" t="str">
            <v>Moose Premium DE</v>
          </cell>
          <cell r="D59" t="str">
            <v>X0026KO6F5</v>
          </cell>
          <cell r="E59" t="str">
            <v>B0DNYWF492</v>
          </cell>
          <cell r="F59" t="str">
            <v>3DMakerpro 3D-Scanner Moose für 3D-Modellierung – Handscanner mit 24-Bit Farbe, 0,03 mm Präzision, Blaulicht-Technologie, AI-Tracking, Windows/macOS (Premium)</v>
          </cell>
          <cell r="G59" t="str">
            <v>New</v>
          </cell>
          <cell r="H59">
            <v>26</v>
          </cell>
          <cell r="I59">
            <v>0</v>
          </cell>
          <cell r="J59">
            <v>26</v>
          </cell>
          <cell r="K59">
            <v>18</v>
          </cell>
          <cell r="L59">
            <v>0</v>
          </cell>
          <cell r="M59">
            <v>0</v>
          </cell>
          <cell r="N59">
            <v>0</v>
          </cell>
          <cell r="O59">
            <v>0</v>
          </cell>
          <cell r="P59" t="str">
            <v>EUR</v>
          </cell>
          <cell r="Q59">
            <v>1</v>
          </cell>
          <cell r="R59">
            <v>4</v>
          </cell>
          <cell r="S59">
            <v>13</v>
          </cell>
          <cell r="T59">
            <v>19</v>
          </cell>
        </row>
        <row r="59">
          <cell r="V59">
            <v>879.99</v>
          </cell>
          <cell r="W59">
            <v>739.99</v>
          </cell>
          <cell r="X59">
            <v>739.99</v>
          </cell>
          <cell r="Y59">
            <v>0</v>
          </cell>
          <cell r="Z59" t="str">
            <v>NoRestockExcessActionRequired</v>
          </cell>
          <cell r="AA59">
            <v>1</v>
          </cell>
          <cell r="AB59">
            <v>0</v>
          </cell>
          <cell r="AC59">
            <v>0</v>
          </cell>
          <cell r="AD59">
            <v>0</v>
          </cell>
          <cell r="AE59">
            <v>0</v>
          </cell>
          <cell r="AF59">
            <v>0.5</v>
          </cell>
          <cell r="AG59">
            <v>0.006665</v>
          </cell>
          <cell r="AH59" t="str">
            <v>cubic meter</v>
          </cell>
          <cell r="AI59" t="str">
            <v>Standard</v>
          </cell>
          <cell r="AJ59">
            <v>0.173297</v>
          </cell>
          <cell r="AK59" t="str">
            <v>DE</v>
          </cell>
          <cell r="AL59" t="str">
            <v>gl_biss</v>
          </cell>
          <cell r="AM59">
            <v>68824</v>
          </cell>
          <cell r="AN59">
            <v>211</v>
          </cell>
          <cell r="AO59">
            <v>0</v>
          </cell>
          <cell r="AP59">
            <v>26</v>
          </cell>
          <cell r="AQ59">
            <v>17</v>
          </cell>
          <cell r="AR59">
            <v>739.99</v>
          </cell>
          <cell r="AS59">
            <v>621.84</v>
          </cell>
          <cell r="AT59">
            <v>2790.39</v>
          </cell>
          <cell r="AU59">
            <v>9143.28</v>
          </cell>
          <cell r="AV59">
            <v>12754.06</v>
          </cell>
          <cell r="AW59">
            <v>0</v>
          </cell>
          <cell r="AX59">
            <v>26</v>
          </cell>
          <cell r="AY59">
            <v>0</v>
          </cell>
          <cell r="AZ59">
            <v>0</v>
          </cell>
          <cell r="BA59">
            <v>0</v>
          </cell>
          <cell r="BB59">
            <v>2.93</v>
          </cell>
          <cell r="BC59">
            <v>0</v>
          </cell>
          <cell r="BD59">
            <v>0</v>
          </cell>
          <cell r="BE59">
            <v>0</v>
          </cell>
          <cell r="BF59">
            <v>0</v>
          </cell>
          <cell r="BG59">
            <v>18</v>
          </cell>
          <cell r="BH59">
            <v>0</v>
          </cell>
        </row>
        <row r="59">
          <cell r="BU59">
            <v>284.8</v>
          </cell>
          <cell r="BV59">
            <v>10</v>
          </cell>
        </row>
        <row r="59">
          <cell r="BX59">
            <v>0</v>
          </cell>
        </row>
        <row r="59">
          <cell r="BZ59">
            <v>46181</v>
          </cell>
          <cell r="CA59" t="str">
            <v>Yes</v>
          </cell>
          <cell r="CB59" t="str">
            <v>No</v>
          </cell>
          <cell r="CC59">
            <v>284.8</v>
          </cell>
          <cell r="CD59">
            <v>190.1</v>
          </cell>
          <cell r="CE59">
            <v>46183</v>
          </cell>
          <cell r="CF59">
            <v>26</v>
          </cell>
          <cell r="CG59">
            <v>0</v>
          </cell>
          <cell r="CH59">
            <v>0</v>
          </cell>
          <cell r="CI59">
            <v>0</v>
          </cell>
          <cell r="CJ59">
            <v>18</v>
          </cell>
          <cell r="CK59">
            <v>366</v>
          </cell>
          <cell r="CL59" t="str">
            <v>N</v>
          </cell>
        </row>
        <row r="60">
          <cell r="A60" t="str">
            <v>X001VV5NJN</v>
          </cell>
          <cell r="B60" t="str">
            <v>Amazon DE</v>
          </cell>
          <cell r="C60" t="str">
            <v>seal-l</v>
          </cell>
          <cell r="D60" t="str">
            <v>X001VV5NJN</v>
          </cell>
          <cell r="E60" t="str">
            <v>B0CKSFSJ5N</v>
          </cell>
          <cell r="F60" t="str">
            <v>3DMakerpro 3D-Scanner mit 0,01 mm Genauigkeit, 24-Bit-Farbkamera, verwacklungssicheren optischen Linsen, 10 FPS Scangeschwindigkeit, tragbarer 3D-Scanner für 3D-Druck mit Smart Grip (Luxury)</v>
          </cell>
          <cell r="G60" t="str">
            <v>New</v>
          </cell>
          <cell r="H60">
            <v>9</v>
          </cell>
          <cell r="I60">
            <v>0</v>
          </cell>
          <cell r="J60">
            <v>0</v>
          </cell>
          <cell r="K60">
            <v>0</v>
          </cell>
          <cell r="L60">
            <v>0</v>
          </cell>
          <cell r="M60">
            <v>9</v>
          </cell>
          <cell r="N60">
            <v>0</v>
          </cell>
          <cell r="O60">
            <v>0</v>
          </cell>
          <cell r="P60" t="str">
            <v>EUR</v>
          </cell>
          <cell r="Q60">
            <v>0</v>
          </cell>
          <cell r="R60">
            <v>1</v>
          </cell>
          <cell r="S60">
            <v>2</v>
          </cell>
          <cell r="T60">
            <v>2</v>
          </cell>
        </row>
        <row r="60">
          <cell r="V60">
            <v>1109.99</v>
          </cell>
          <cell r="W60">
            <v>735.99</v>
          </cell>
          <cell r="X60">
            <v>735.99</v>
          </cell>
          <cell r="Y60">
            <v>0</v>
          </cell>
          <cell r="Z60" t="str">
            <v>NoRestockExcessActionRequired</v>
          </cell>
          <cell r="AA60">
            <v>0</v>
          </cell>
          <cell r="AB60">
            <v>665</v>
          </cell>
          <cell r="AC60">
            <v>52</v>
          </cell>
          <cell r="AD60">
            <v>0</v>
          </cell>
          <cell r="AE60">
            <v>4520.41</v>
          </cell>
          <cell r="AF60">
            <v>0.28</v>
          </cell>
          <cell r="AG60">
            <v>0.014624</v>
          </cell>
          <cell r="AH60" t="str">
            <v>cubic meter</v>
          </cell>
          <cell r="AI60" t="str">
            <v>Standard</v>
          </cell>
          <cell r="AJ60">
            <v>0.131619</v>
          </cell>
          <cell r="AK60" t="str">
            <v>DE</v>
          </cell>
          <cell r="AL60" t="str">
            <v>gl_biss</v>
          </cell>
          <cell r="AM60">
            <v>98309</v>
          </cell>
          <cell r="AN60">
            <v>202</v>
          </cell>
          <cell r="AO60">
            <v>9</v>
          </cell>
          <cell r="AP60">
            <v>36</v>
          </cell>
          <cell r="AQ60">
            <v>58</v>
          </cell>
          <cell r="AR60">
            <v>742.18</v>
          </cell>
          <cell r="AS60">
            <v>0</v>
          </cell>
          <cell r="AT60">
            <v>605.87</v>
          </cell>
          <cell r="AU60">
            <v>1211.63</v>
          </cell>
          <cell r="AV60">
            <v>1211.63</v>
          </cell>
          <cell r="AW60">
            <v>0</v>
          </cell>
          <cell r="AX60">
            <v>0</v>
          </cell>
          <cell r="AY60">
            <v>0</v>
          </cell>
          <cell r="AZ60">
            <v>0</v>
          </cell>
          <cell r="BA60">
            <v>9</v>
          </cell>
          <cell r="BB60">
            <v>23.17</v>
          </cell>
          <cell r="BC60">
            <v>0</v>
          </cell>
          <cell r="BD60">
            <v>0</v>
          </cell>
          <cell r="BE60">
            <v>0</v>
          </cell>
          <cell r="BF60">
            <v>0</v>
          </cell>
          <cell r="BG60">
            <v>0</v>
          </cell>
          <cell r="BH60">
            <v>0</v>
          </cell>
          <cell r="BI60">
            <v>0</v>
          </cell>
          <cell r="BJ60">
            <v>0</v>
          </cell>
          <cell r="BK60">
            <v>0</v>
          </cell>
          <cell r="BL60">
            <v>0</v>
          </cell>
          <cell r="BM60">
            <v>0</v>
          </cell>
          <cell r="BN60">
            <v>0</v>
          </cell>
          <cell r="BO60">
            <v>9</v>
          </cell>
          <cell r="BP60">
            <v>17.9</v>
          </cell>
          <cell r="BQ60">
            <v>0</v>
          </cell>
          <cell r="BR60">
            <v>0</v>
          </cell>
          <cell r="BS60">
            <v>0</v>
          </cell>
          <cell r="BT60">
            <v>0</v>
          </cell>
          <cell r="BU60">
            <v>329.7</v>
          </cell>
          <cell r="BV60">
            <v>4</v>
          </cell>
        </row>
        <row r="60">
          <cell r="BX60">
            <v>0</v>
          </cell>
        </row>
        <row r="60">
          <cell r="BZ60">
            <v>46181</v>
          </cell>
          <cell r="CA60" t="str">
            <v>Yes</v>
          </cell>
          <cell r="CB60" t="str">
            <v>No</v>
          </cell>
          <cell r="CC60">
            <v>282</v>
          </cell>
          <cell r="CD60">
            <v>329.7</v>
          </cell>
          <cell r="CE60">
            <v>46183</v>
          </cell>
          <cell r="CF60">
            <v>9</v>
          </cell>
          <cell r="CG60">
            <v>0</v>
          </cell>
          <cell r="CH60">
            <v>0</v>
          </cell>
          <cell r="CI60">
            <v>0</v>
          </cell>
          <cell r="CJ60">
            <v>0</v>
          </cell>
          <cell r="CK60">
            <v>202</v>
          </cell>
          <cell r="CL60" t="str">
            <v>N</v>
          </cell>
        </row>
        <row r="61">
          <cell r="A61" t="str">
            <v>X0020EEIEV</v>
          </cell>
          <cell r="B61" t="str">
            <v>Amazon DE</v>
          </cell>
          <cell r="C61" t="str">
            <v>EU Moose Lite Standard</v>
          </cell>
          <cell r="D61" t="str">
            <v>X0020EEIEV</v>
          </cell>
          <cell r="E61" t="str">
            <v>B0D2H8V3MT</v>
          </cell>
          <cell r="F61" t="str">
            <v>3DMakerpro 3D-Scanner Moose Lite, präziser 3D Scanner für 3D-Drucker, 0,05 mm Genauigkeit, NIR-Lichtquelle, Mittelformat für Objekte von 15-1500 mm, Mono-Textur, kompatibel mit Windows/Mac</v>
          </cell>
          <cell r="G61" t="str">
            <v>New</v>
          </cell>
          <cell r="H61">
            <v>52</v>
          </cell>
          <cell r="I61">
            <v>0</v>
          </cell>
          <cell r="J61">
            <v>41</v>
          </cell>
          <cell r="K61">
            <v>12</v>
          </cell>
          <cell r="L61">
            <v>0</v>
          </cell>
          <cell r="M61">
            <v>0</v>
          </cell>
          <cell r="N61">
            <v>0</v>
          </cell>
          <cell r="O61">
            <v>0</v>
          </cell>
          <cell r="P61" t="str">
            <v>EUR</v>
          </cell>
          <cell r="Q61">
            <v>2</v>
          </cell>
          <cell r="R61">
            <v>10</v>
          </cell>
          <cell r="S61">
            <v>12</v>
          </cell>
          <cell r="T61">
            <v>13</v>
          </cell>
        </row>
        <row r="61">
          <cell r="V61">
            <v>449.99</v>
          </cell>
          <cell r="W61">
            <v>399.99</v>
          </cell>
          <cell r="X61">
            <v>399.99</v>
          </cell>
          <cell r="Y61">
            <v>0</v>
          </cell>
          <cell r="Z61" t="str">
            <v>NoExcessInventory</v>
          </cell>
          <cell r="AA61">
            <v>1</v>
          </cell>
          <cell r="AB61">
            <v>0</v>
          </cell>
          <cell r="AC61">
            <v>0</v>
          </cell>
          <cell r="AD61">
            <v>0</v>
          </cell>
          <cell r="AE61">
            <v>0</v>
          </cell>
          <cell r="AF61">
            <v>0.38</v>
          </cell>
          <cell r="AG61">
            <v>0.001737</v>
          </cell>
          <cell r="AH61" t="str">
            <v>cubic meter</v>
          </cell>
          <cell r="AI61" t="str">
            <v>Standard</v>
          </cell>
          <cell r="AJ61">
            <v>0.090347</v>
          </cell>
          <cell r="AK61" t="str">
            <v>DE</v>
          </cell>
          <cell r="AL61" t="str">
            <v>gl_biss</v>
          </cell>
          <cell r="AM61">
            <v>23959</v>
          </cell>
          <cell r="AN61">
            <v>272</v>
          </cell>
          <cell r="AO61">
            <v>0</v>
          </cell>
          <cell r="AP61">
            <v>20</v>
          </cell>
          <cell r="AQ61">
            <v>52</v>
          </cell>
          <cell r="AR61">
            <v>403.36</v>
          </cell>
          <cell r="AS61">
            <v>799.96</v>
          </cell>
          <cell r="AT61">
            <v>3616.71</v>
          </cell>
          <cell r="AU61">
            <v>4352.47</v>
          </cell>
          <cell r="AV61">
            <v>4729.78</v>
          </cell>
          <cell r="AW61">
            <v>1</v>
          </cell>
          <cell r="AX61">
            <v>40</v>
          </cell>
          <cell r="AY61">
            <v>0</v>
          </cell>
          <cell r="AZ61">
            <v>0</v>
          </cell>
          <cell r="BA61">
            <v>0</v>
          </cell>
          <cell r="BB61">
            <v>0.85</v>
          </cell>
          <cell r="BC61">
            <v>0</v>
          </cell>
          <cell r="BD61">
            <v>0</v>
          </cell>
          <cell r="BE61">
            <v>0</v>
          </cell>
          <cell r="BF61">
            <v>0</v>
          </cell>
          <cell r="BG61">
            <v>0</v>
          </cell>
          <cell r="BH61">
            <v>0</v>
          </cell>
        </row>
        <row r="61">
          <cell r="BU61">
            <v>237.8</v>
          </cell>
          <cell r="BV61">
            <v>15</v>
          </cell>
        </row>
        <row r="61">
          <cell r="BX61">
            <v>0</v>
          </cell>
        </row>
        <row r="61">
          <cell r="BZ61">
            <v>46181</v>
          </cell>
          <cell r="CA61" t="str">
            <v>Yes</v>
          </cell>
          <cell r="CB61" t="str">
            <v>No</v>
          </cell>
          <cell r="CC61">
            <v>174.7</v>
          </cell>
          <cell r="CD61">
            <v>237.8</v>
          </cell>
          <cell r="CE61">
            <v>46183</v>
          </cell>
          <cell r="CF61">
            <v>52</v>
          </cell>
          <cell r="CG61">
            <v>0</v>
          </cell>
          <cell r="CH61">
            <v>0</v>
          </cell>
          <cell r="CI61">
            <v>0</v>
          </cell>
          <cell r="CJ61">
            <v>0</v>
          </cell>
          <cell r="CK61">
            <v>272</v>
          </cell>
          <cell r="CL61" t="str">
            <v>N</v>
          </cell>
        </row>
        <row r="62">
          <cell r="A62" t="str">
            <v>X0024DYTQZ</v>
          </cell>
          <cell r="B62" t="str">
            <v>Amazon DE</v>
          </cell>
          <cell r="C62" t="str">
            <v>EU Seal Lite Premium</v>
          </cell>
          <cell r="D62" t="str">
            <v>X0024DYTQZ</v>
          </cell>
          <cell r="E62" t="str">
            <v>B0DG5PGKX8</v>
          </cell>
          <cell r="F62" t="str">
            <v>3DMakerpro Seal Lite 3D-Scanner Set für 3D-Drucker mit Stativ &amp; Drehtisch, 0,02 mm Präzision, blaue LED-Strukturlicht-Technologie, Mini 3D Scanner für Kleinformat (10-300mm), Windows &amp; Mac, STL/OBJ</v>
          </cell>
          <cell r="G62" t="str">
            <v>New</v>
          </cell>
          <cell r="H62">
            <v>70</v>
          </cell>
          <cell r="I62">
            <v>0</v>
          </cell>
          <cell r="J62">
            <v>0</v>
          </cell>
          <cell r="K62">
            <v>70</v>
          </cell>
          <cell r="L62">
            <v>0</v>
          </cell>
          <cell r="M62">
            <v>0</v>
          </cell>
          <cell r="N62">
            <v>0</v>
          </cell>
          <cell r="O62">
            <v>0</v>
          </cell>
          <cell r="P62" t="str">
            <v>EUR</v>
          </cell>
          <cell r="Q62">
            <v>0</v>
          </cell>
          <cell r="R62">
            <v>0</v>
          </cell>
          <cell r="S62">
            <v>0</v>
          </cell>
          <cell r="T62">
            <v>0</v>
          </cell>
          <cell r="U62" t="str">
            <v>Low conversion</v>
          </cell>
          <cell r="V62">
            <v>495.99</v>
          </cell>
          <cell r="W62">
            <v>439.99</v>
          </cell>
          <cell r="X62">
            <v>439.99</v>
          </cell>
          <cell r="Y62">
            <v>0</v>
          </cell>
          <cell r="Z62" t="str">
            <v>Lower price</v>
          </cell>
          <cell r="AA62">
            <v>0</v>
          </cell>
          <cell r="AB62">
            <v>0</v>
          </cell>
          <cell r="AC62">
            <v>0</v>
          </cell>
          <cell r="AD62">
            <v>0</v>
          </cell>
          <cell r="AE62">
            <v>21219.62</v>
          </cell>
          <cell r="AF62">
            <v>0.04</v>
          </cell>
          <cell r="AG62">
            <v>0.006735</v>
          </cell>
          <cell r="AH62" t="str">
            <v>cubic meter</v>
          </cell>
          <cell r="AI62" t="str">
            <v>Standard</v>
          </cell>
          <cell r="AJ62">
            <v>0.47143</v>
          </cell>
          <cell r="AK62" t="str">
            <v>DE</v>
          </cell>
          <cell r="AL62" t="str">
            <v>gl_biss</v>
          </cell>
          <cell r="AM62">
            <v>107954</v>
          </cell>
          <cell r="AN62">
            <v>366</v>
          </cell>
          <cell r="AO62">
            <v>70</v>
          </cell>
        </row>
        <row r="62">
          <cell r="AR62">
            <v>439.99</v>
          </cell>
          <cell r="AS62">
            <v>0</v>
          </cell>
          <cell r="AT62">
            <v>0</v>
          </cell>
          <cell r="AU62">
            <v>0</v>
          </cell>
          <cell r="AV62">
            <v>0</v>
          </cell>
          <cell r="AW62">
            <v>0</v>
          </cell>
          <cell r="AX62">
            <v>0</v>
          </cell>
          <cell r="AY62">
            <v>0</v>
          </cell>
          <cell r="AZ62">
            <v>0</v>
          </cell>
          <cell r="BA62">
            <v>0</v>
          </cell>
          <cell r="BB62">
            <v>23</v>
          </cell>
          <cell r="BC62">
            <v>0</v>
          </cell>
          <cell r="BD62">
            <v>0</v>
          </cell>
          <cell r="BE62">
            <v>0</v>
          </cell>
          <cell r="BF62">
            <v>0</v>
          </cell>
          <cell r="BG62">
            <v>0</v>
          </cell>
          <cell r="BH62">
            <v>0</v>
          </cell>
        </row>
        <row r="62">
          <cell r="BU62">
            <v>2150.7</v>
          </cell>
          <cell r="BV62">
            <v>10</v>
          </cell>
        </row>
        <row r="62">
          <cell r="BX62">
            <v>0</v>
          </cell>
        </row>
        <row r="62">
          <cell r="BZ62">
            <v>46181</v>
          </cell>
          <cell r="CA62" t="str">
            <v>Yes</v>
          </cell>
          <cell r="CB62" t="str">
            <v>No</v>
          </cell>
          <cell r="CC62">
            <v>2107</v>
          </cell>
          <cell r="CD62">
            <v>2150.7</v>
          </cell>
          <cell r="CE62">
            <v>46183</v>
          </cell>
          <cell r="CF62">
            <v>70</v>
          </cell>
          <cell r="CG62">
            <v>0</v>
          </cell>
          <cell r="CH62">
            <v>0</v>
          </cell>
          <cell r="CI62">
            <v>0</v>
          </cell>
          <cell r="CJ62">
            <v>0</v>
          </cell>
          <cell r="CK62">
            <v>366</v>
          </cell>
          <cell r="CL62" t="str">
            <v>N</v>
          </cell>
        </row>
        <row r="63">
          <cell r="A63" t="str">
            <v>X001VV9M5J</v>
          </cell>
          <cell r="B63" t="str">
            <v>Amazon DE</v>
          </cell>
          <cell r="C63" t="str">
            <v>sgrip</v>
          </cell>
          <cell r="D63" t="str">
            <v>X001VV9M5J</v>
          </cell>
          <cell r="E63" t="str">
            <v>B0CKSFZ34Y</v>
          </cell>
          <cell r="F63" t="str">
            <v>3DMakerpro Smart Grip Handgriff für 3D-Scanner – Tragbare Smartphone-Halterung für Mobiles Scannen unterwegs, Kompatibel mit Moose, Moose Lite, Seal und Seal Lite</v>
          </cell>
          <cell r="G63" t="str">
            <v>New</v>
          </cell>
          <cell r="H63">
            <v>4</v>
          </cell>
          <cell r="I63">
            <v>0</v>
          </cell>
          <cell r="J63">
            <v>1</v>
          </cell>
          <cell r="K63">
            <v>3</v>
          </cell>
          <cell r="L63">
            <v>0</v>
          </cell>
          <cell r="M63">
            <v>0</v>
          </cell>
          <cell r="N63">
            <v>0</v>
          </cell>
          <cell r="O63">
            <v>0</v>
          </cell>
          <cell r="P63" t="str">
            <v>EUR</v>
          </cell>
          <cell r="Q63">
            <v>2</v>
          </cell>
          <cell r="R63">
            <v>2</v>
          </cell>
          <cell r="S63">
            <v>4</v>
          </cell>
          <cell r="T63">
            <v>5</v>
          </cell>
          <cell r="U63" t="str">
            <v>Low traffic</v>
          </cell>
          <cell r="V63">
            <v>299.99</v>
          </cell>
          <cell r="W63">
            <v>0</v>
          </cell>
          <cell r="X63">
            <v>299.99</v>
          </cell>
          <cell r="Y63">
            <v>0</v>
          </cell>
          <cell r="Z63" t="str">
            <v>NoRestockExcessActionRequired</v>
          </cell>
          <cell r="AA63">
            <v>0</v>
          </cell>
          <cell r="AB63">
            <v>209.3</v>
          </cell>
          <cell r="AC63">
            <v>52</v>
          </cell>
          <cell r="AD63">
            <v>0</v>
          </cell>
          <cell r="AE63">
            <v>447.61</v>
          </cell>
          <cell r="AF63">
            <v>1.11</v>
          </cell>
          <cell r="AG63">
            <v>0.001041</v>
          </cell>
          <cell r="AH63" t="str">
            <v>cubic meter</v>
          </cell>
          <cell r="AI63" t="str">
            <v>Standard</v>
          </cell>
          <cell r="AJ63">
            <v>0.004165</v>
          </cell>
          <cell r="AK63" t="str">
            <v>DE</v>
          </cell>
          <cell r="AL63" t="str">
            <v>gl_electronics</v>
          </cell>
        </row>
        <row r="63">
          <cell r="AN63">
            <v>35</v>
          </cell>
          <cell r="AO63">
            <v>0</v>
          </cell>
          <cell r="AP63">
            <v>8</v>
          </cell>
          <cell r="AQ63">
            <v>10</v>
          </cell>
          <cell r="AR63">
            <v>302.51</v>
          </cell>
          <cell r="AS63">
            <v>537.08</v>
          </cell>
          <cell r="AT63">
            <v>537.08</v>
          </cell>
          <cell r="AU63">
            <v>1027.04</v>
          </cell>
          <cell r="AV63">
            <v>1278.3</v>
          </cell>
          <cell r="AW63">
            <v>0</v>
          </cell>
          <cell r="AX63">
            <v>1</v>
          </cell>
          <cell r="AY63">
            <v>0</v>
          </cell>
          <cell r="AZ63">
            <v>0</v>
          </cell>
          <cell r="BA63">
            <v>0</v>
          </cell>
          <cell r="BB63">
            <v>0.11</v>
          </cell>
          <cell r="BC63">
            <v>0</v>
          </cell>
          <cell r="BD63">
            <v>0</v>
          </cell>
          <cell r="BE63">
            <v>0</v>
          </cell>
          <cell r="BF63">
            <v>0</v>
          </cell>
          <cell r="BG63">
            <v>0</v>
          </cell>
          <cell r="BH63">
            <v>0</v>
          </cell>
        </row>
        <row r="63">
          <cell r="BU63">
            <v>97.5</v>
          </cell>
          <cell r="BV63">
            <v>6</v>
          </cell>
          <cell r="BW63" t="str">
            <v>Low stock</v>
          </cell>
          <cell r="BX63">
            <v>7</v>
          </cell>
          <cell r="BY63">
            <v>46191</v>
          </cell>
          <cell r="BZ63">
            <v>46181</v>
          </cell>
          <cell r="CA63" t="str">
            <v>Yes</v>
          </cell>
          <cell r="CB63" t="str">
            <v>No</v>
          </cell>
          <cell r="CC63">
            <v>49</v>
          </cell>
          <cell r="CD63">
            <v>97.5</v>
          </cell>
          <cell r="CE63">
            <v>46183</v>
          </cell>
          <cell r="CF63">
            <v>4</v>
          </cell>
          <cell r="CG63">
            <v>0</v>
          </cell>
          <cell r="CH63">
            <v>0</v>
          </cell>
          <cell r="CI63">
            <v>0</v>
          </cell>
          <cell r="CJ63">
            <v>0</v>
          </cell>
          <cell r="CK63">
            <v>35</v>
          </cell>
          <cell r="CL63" t="str">
            <v>N</v>
          </cell>
        </row>
        <row r="64">
          <cell r="A64" t="str">
            <v>X001T448BV</v>
          </cell>
          <cell r="B64" t="str">
            <v>Amazon DE</v>
          </cell>
          <cell r="C64" t="str">
            <v>lynx-s</v>
          </cell>
          <cell r="D64" t="str">
            <v>X001T448BV</v>
          </cell>
          <cell r="E64" t="str">
            <v>B0C9J2R9TX</v>
          </cell>
          <cell r="F64" t="str">
            <v>3DMakerpro 3D Scanner Lynx 0,1 mm Genauigkeit und 10 FPS Scangeschwindigkeit, tragbarer 3D-Scanner für 3D-Druckmodelle, Design mit intelligentem großflächigen Ausrichtungsalgorithmus - Standardpaket</v>
          </cell>
          <cell r="G64" t="str">
            <v>New</v>
          </cell>
          <cell r="H64">
            <v>2</v>
          </cell>
          <cell r="I64">
            <v>0</v>
          </cell>
          <cell r="J64">
            <v>0</v>
          </cell>
          <cell r="K64">
            <v>2</v>
          </cell>
          <cell r="L64">
            <v>4</v>
          </cell>
          <cell r="M64">
            <v>0</v>
          </cell>
          <cell r="N64">
            <v>0</v>
          </cell>
          <cell r="O64">
            <v>0</v>
          </cell>
          <cell r="P64" t="str">
            <v>EUR</v>
          </cell>
          <cell r="Q64">
            <v>0</v>
          </cell>
          <cell r="R64">
            <v>0</v>
          </cell>
          <cell r="S64">
            <v>0</v>
          </cell>
          <cell r="T64">
            <v>2</v>
          </cell>
          <cell r="U64" t="str">
            <v>Low traffic</v>
          </cell>
          <cell r="V64">
            <v>519.99</v>
          </cell>
          <cell r="W64">
            <v>499.99</v>
          </cell>
          <cell r="X64">
            <v>499.99</v>
          </cell>
          <cell r="Y64">
            <v>0</v>
          </cell>
          <cell r="Z64" t="str">
            <v>NoRestockExcessActionRequired</v>
          </cell>
          <cell r="AA64">
            <v>0</v>
          </cell>
          <cell r="AB64">
            <v>0</v>
          </cell>
          <cell r="AC64">
            <v>0</v>
          </cell>
          <cell r="AD64">
            <v>0</v>
          </cell>
          <cell r="AE64">
            <v>2026.42</v>
          </cell>
          <cell r="AF64">
            <v>0.47</v>
          </cell>
          <cell r="AG64">
            <v>0.015569</v>
          </cell>
          <cell r="AH64" t="str">
            <v>cubic meter</v>
          </cell>
          <cell r="AI64" t="str">
            <v>Standard</v>
          </cell>
          <cell r="AJ64">
            <v>0.031138</v>
          </cell>
          <cell r="AK64" t="str">
            <v>DE</v>
          </cell>
          <cell r="AL64" t="str">
            <v>gl_biss</v>
          </cell>
          <cell r="AM64">
            <v>238626</v>
          </cell>
          <cell r="AN64">
            <v>45</v>
          </cell>
          <cell r="AO64">
            <v>0</v>
          </cell>
        </row>
        <row r="64">
          <cell r="AQ64">
            <v>13</v>
          </cell>
          <cell r="AR64">
            <v>499.99</v>
          </cell>
          <cell r="AS64">
            <v>0</v>
          </cell>
          <cell r="AT64">
            <v>0</v>
          </cell>
          <cell r="AU64">
            <v>0</v>
          </cell>
          <cell r="AV64">
            <v>872.26</v>
          </cell>
          <cell r="AW64">
            <v>0</v>
          </cell>
          <cell r="AX64">
            <v>0</v>
          </cell>
          <cell r="AY64">
            <v>0</v>
          </cell>
          <cell r="AZ64">
            <v>4</v>
          </cell>
          <cell r="BA64">
            <v>0</v>
          </cell>
          <cell r="BB64">
            <v>4.67</v>
          </cell>
          <cell r="BC64">
            <v>0</v>
          </cell>
          <cell r="BD64">
            <v>0</v>
          </cell>
          <cell r="BE64">
            <v>0</v>
          </cell>
          <cell r="BF64">
            <v>0</v>
          </cell>
          <cell r="BG64">
            <v>4</v>
          </cell>
          <cell r="BH64">
            <v>1</v>
          </cell>
        </row>
        <row r="64">
          <cell r="BV64">
            <v>3</v>
          </cell>
          <cell r="BW64" t="str">
            <v>Low stock</v>
          </cell>
          <cell r="BX64">
            <v>0</v>
          </cell>
        </row>
        <row r="64">
          <cell r="CD64">
            <v>233.3</v>
          </cell>
          <cell r="CE64">
            <v>46182</v>
          </cell>
          <cell r="CF64">
            <v>2</v>
          </cell>
          <cell r="CG64">
            <v>0</v>
          </cell>
          <cell r="CH64">
            <v>0</v>
          </cell>
          <cell r="CI64">
            <v>0</v>
          </cell>
          <cell r="CJ64">
            <v>4</v>
          </cell>
          <cell r="CK64">
            <v>129</v>
          </cell>
          <cell r="CL64" t="str">
            <v>N</v>
          </cell>
        </row>
        <row r="65">
          <cell r="A65" t="str">
            <v>X0020EE1SJ</v>
          </cell>
          <cell r="B65" t="str">
            <v>Amazon DE</v>
          </cell>
          <cell r="C65" t="str">
            <v>EU Moose Standard</v>
          </cell>
          <cell r="D65" t="str">
            <v>X0020EE1SJ</v>
          </cell>
          <cell r="E65" t="str">
            <v>B0D2H6SXLZ</v>
          </cell>
          <cell r="F65" t="str">
            <v>3DMakerpro 3D-Scanner Moose für 3D-Modellierung – Handscanner mit 24-Bit Farbe, 0,03 mm Präzision, Blaulicht-Technologie, AI-Tracking, Windows/macOS (Standard)</v>
          </cell>
          <cell r="G65" t="str">
            <v>New</v>
          </cell>
          <cell r="H65">
            <v>29</v>
          </cell>
          <cell r="I65">
            <v>0</v>
          </cell>
          <cell r="J65">
            <v>20</v>
          </cell>
          <cell r="K65">
            <v>11</v>
          </cell>
          <cell r="L65">
            <v>0</v>
          </cell>
          <cell r="M65">
            <v>0</v>
          </cell>
          <cell r="N65">
            <v>0</v>
          </cell>
          <cell r="O65">
            <v>0</v>
          </cell>
          <cell r="P65" t="str">
            <v>EUR</v>
          </cell>
          <cell r="Q65">
            <v>0</v>
          </cell>
          <cell r="R65">
            <v>0</v>
          </cell>
          <cell r="S65">
            <v>1</v>
          </cell>
          <cell r="T65">
            <v>3</v>
          </cell>
          <cell r="U65" t="str">
            <v>Low conversion</v>
          </cell>
          <cell r="V65">
            <v>779.99</v>
          </cell>
          <cell r="W65">
            <v>699.99</v>
          </cell>
          <cell r="X65">
            <v>699.99</v>
          </cell>
          <cell r="Y65">
            <v>0</v>
          </cell>
          <cell r="Z65" t="str">
            <v>NoRestockExcessActionRequired</v>
          </cell>
          <cell r="AA65">
            <v>30</v>
          </cell>
          <cell r="AB65">
            <v>0</v>
          </cell>
          <cell r="AC65">
            <v>0</v>
          </cell>
          <cell r="AD65">
            <v>0</v>
          </cell>
          <cell r="AE65">
            <v>3971.6</v>
          </cell>
          <cell r="AF65">
            <v>0.17</v>
          </cell>
          <cell r="AG65">
            <v>0.001727</v>
          </cell>
          <cell r="AH65" t="str">
            <v>cubic meter</v>
          </cell>
          <cell r="AI65" t="str">
            <v>Standard</v>
          </cell>
          <cell r="AJ65">
            <v>0.050081</v>
          </cell>
          <cell r="AK65" t="str">
            <v>DE</v>
          </cell>
          <cell r="AL65" t="str">
            <v>gl_biss</v>
          </cell>
          <cell r="AM65">
            <v>68824</v>
          </cell>
          <cell r="AN65">
            <v>330</v>
          </cell>
          <cell r="AO65">
            <v>0</v>
          </cell>
        </row>
        <row r="65">
          <cell r="AQ65">
            <v>125</v>
          </cell>
          <cell r="AR65">
            <v>699.99</v>
          </cell>
          <cell r="AS65">
            <v>0</v>
          </cell>
          <cell r="AT65">
            <v>0</v>
          </cell>
          <cell r="AU65">
            <v>626.68</v>
          </cell>
          <cell r="AV65">
            <v>1913.02</v>
          </cell>
          <cell r="AW65">
            <v>0</v>
          </cell>
          <cell r="AX65">
            <v>20</v>
          </cell>
          <cell r="AY65">
            <v>0</v>
          </cell>
          <cell r="AZ65">
            <v>0</v>
          </cell>
          <cell r="BA65">
            <v>0</v>
          </cell>
          <cell r="BB65">
            <v>2.59</v>
          </cell>
          <cell r="BC65">
            <v>0</v>
          </cell>
          <cell r="BD65">
            <v>0</v>
          </cell>
          <cell r="BE65">
            <v>0</v>
          </cell>
          <cell r="BF65">
            <v>0</v>
          </cell>
          <cell r="BG65">
            <v>0</v>
          </cell>
          <cell r="BH65">
            <v>0</v>
          </cell>
        </row>
        <row r="65">
          <cell r="BU65">
            <v>956</v>
          </cell>
          <cell r="BV65">
            <v>3</v>
          </cell>
        </row>
        <row r="65">
          <cell r="BX65">
            <v>0</v>
          </cell>
        </row>
        <row r="65">
          <cell r="BZ65">
            <v>46181</v>
          </cell>
          <cell r="CA65" t="str">
            <v>Yes</v>
          </cell>
          <cell r="CB65" t="str">
            <v>No</v>
          </cell>
          <cell r="CC65">
            <v>956</v>
          </cell>
          <cell r="CD65">
            <v>453.3</v>
          </cell>
          <cell r="CE65">
            <v>46183</v>
          </cell>
          <cell r="CF65">
            <v>29</v>
          </cell>
          <cell r="CG65">
            <v>0</v>
          </cell>
          <cell r="CH65">
            <v>0</v>
          </cell>
          <cell r="CI65">
            <v>0</v>
          </cell>
          <cell r="CJ65">
            <v>0</v>
          </cell>
          <cell r="CK65">
            <v>330</v>
          </cell>
          <cell r="CL65" t="str">
            <v>N</v>
          </cell>
        </row>
        <row r="66">
          <cell r="A66" t="str">
            <v>X0024E4JHX</v>
          </cell>
          <cell r="B66" t="str">
            <v>Amazon DE</v>
          </cell>
          <cell r="C66" t="str">
            <v>EU Seal Lite Standard</v>
          </cell>
          <cell r="D66" t="str">
            <v>X0024E4JHX</v>
          </cell>
          <cell r="E66" t="str">
            <v>B0DG5HBQ61</v>
          </cell>
          <cell r="F66" t="str">
            <v>3DMakerpro Seal Lite 3D-Scanner für 3D-Drucker, 0,02 mm Präzision, Blaues LED-Strukturlicht, Mini 3D Scanner für Kleinformat (10-300mm), Mono-Textur, Windows &amp; Mac, STL/OBJ</v>
          </cell>
          <cell r="G66" t="str">
            <v>New</v>
          </cell>
          <cell r="H66">
            <v>43</v>
          </cell>
          <cell r="I66">
            <v>0</v>
          </cell>
          <cell r="J66">
            <v>1</v>
          </cell>
          <cell r="K66">
            <v>42</v>
          </cell>
          <cell r="L66">
            <v>0</v>
          </cell>
          <cell r="M66">
            <v>0</v>
          </cell>
          <cell r="N66">
            <v>0</v>
          </cell>
          <cell r="O66">
            <v>0</v>
          </cell>
          <cell r="P66" t="str">
            <v>EUR</v>
          </cell>
          <cell r="Q66">
            <v>0</v>
          </cell>
          <cell r="R66">
            <v>3</v>
          </cell>
          <cell r="S66">
            <v>5</v>
          </cell>
          <cell r="T66">
            <v>10</v>
          </cell>
        </row>
        <row r="66">
          <cell r="V66">
            <v>405.99</v>
          </cell>
          <cell r="W66">
            <v>399.99</v>
          </cell>
          <cell r="X66">
            <v>399.99</v>
          </cell>
          <cell r="Y66">
            <v>0</v>
          </cell>
          <cell r="Z66" t="str">
            <v>NoRestockExcessActionRequired</v>
          </cell>
          <cell r="AA66">
            <v>0</v>
          </cell>
          <cell r="AB66">
            <v>0</v>
          </cell>
          <cell r="AC66">
            <v>0</v>
          </cell>
          <cell r="AD66">
            <v>0</v>
          </cell>
          <cell r="AE66">
            <v>5238.88</v>
          </cell>
          <cell r="AF66">
            <v>0.3</v>
          </cell>
          <cell r="AG66">
            <v>0.00231</v>
          </cell>
          <cell r="AH66" t="str">
            <v>cubic meter</v>
          </cell>
          <cell r="AI66" t="str">
            <v>Standard</v>
          </cell>
          <cell r="AJ66">
            <v>0.09933</v>
          </cell>
          <cell r="AK66" t="str">
            <v>DE</v>
          </cell>
          <cell r="AL66" t="str">
            <v>gl_biss</v>
          </cell>
          <cell r="AM66">
            <v>107954</v>
          </cell>
          <cell r="AN66">
            <v>259</v>
          </cell>
          <cell r="AO66">
            <v>43</v>
          </cell>
          <cell r="AP66">
            <v>57</v>
          </cell>
          <cell r="AQ66">
            <v>55</v>
          </cell>
          <cell r="AR66">
            <v>399.99</v>
          </cell>
          <cell r="AS66">
            <v>0</v>
          </cell>
          <cell r="AT66">
            <v>1009.62</v>
          </cell>
          <cell r="AU66">
            <v>1779.12</v>
          </cell>
          <cell r="AV66">
            <v>3276.62</v>
          </cell>
          <cell r="AW66">
            <v>1</v>
          </cell>
          <cell r="AX66">
            <v>0</v>
          </cell>
          <cell r="AY66">
            <v>0</v>
          </cell>
          <cell r="AZ66">
            <v>0</v>
          </cell>
          <cell r="BA66">
            <v>0</v>
          </cell>
          <cell r="BB66">
            <v>2.48</v>
          </cell>
          <cell r="BC66">
            <v>0</v>
          </cell>
          <cell r="BD66">
            <v>0</v>
          </cell>
          <cell r="BE66">
            <v>0</v>
          </cell>
          <cell r="BF66">
            <v>0</v>
          </cell>
          <cell r="BG66">
            <v>0</v>
          </cell>
          <cell r="BH66">
            <v>0</v>
          </cell>
        </row>
        <row r="66">
          <cell r="BU66">
            <v>325.4</v>
          </cell>
          <cell r="BV66">
            <v>12</v>
          </cell>
        </row>
        <row r="66">
          <cell r="BX66">
            <v>0</v>
          </cell>
        </row>
        <row r="66">
          <cell r="BZ66">
            <v>46181</v>
          </cell>
          <cell r="CA66" t="str">
            <v>Yes</v>
          </cell>
          <cell r="CB66" t="str">
            <v>No</v>
          </cell>
          <cell r="CC66">
            <v>230.2</v>
          </cell>
          <cell r="CD66">
            <v>325.4</v>
          </cell>
          <cell r="CE66">
            <v>46183</v>
          </cell>
          <cell r="CF66">
            <v>43</v>
          </cell>
          <cell r="CG66">
            <v>0</v>
          </cell>
          <cell r="CH66">
            <v>0</v>
          </cell>
          <cell r="CI66">
            <v>0</v>
          </cell>
          <cell r="CJ66">
            <v>0</v>
          </cell>
          <cell r="CK66">
            <v>259</v>
          </cell>
          <cell r="CL66" t="str">
            <v>N</v>
          </cell>
        </row>
        <row r="67">
          <cell r="A67" t="str">
            <v>X001VVA0WD</v>
          </cell>
          <cell r="B67" t="str">
            <v>Amazon DE</v>
          </cell>
          <cell r="C67" t="str">
            <v>seal-p</v>
          </cell>
          <cell r="D67" t="str">
            <v>X001VVA0WD</v>
          </cell>
          <cell r="E67" t="str">
            <v>B0CKSFLKL7</v>
          </cell>
          <cell r="F67" t="str">
            <v>3D-Scanner, 24-Bit-Farbkamera, optische Linsen mit Anti-Shake-Funktion, 0,01 mm Genauigkeit und 10 FPS Scangeschwindigkeit, tragbarer 3D-Scanner für 3D-Druck, 3DMakerpro Seal Premium Kit</v>
          </cell>
          <cell r="G67" t="str">
            <v>New</v>
          </cell>
          <cell r="H67">
            <v>11</v>
          </cell>
          <cell r="I67">
            <v>0</v>
          </cell>
          <cell r="J67">
            <v>1</v>
          </cell>
          <cell r="K67">
            <v>3</v>
          </cell>
          <cell r="L67">
            <v>0</v>
          </cell>
          <cell r="M67">
            <v>8</v>
          </cell>
          <cell r="N67">
            <v>0</v>
          </cell>
          <cell r="O67">
            <v>0</v>
          </cell>
          <cell r="P67" t="str">
            <v>EUR</v>
          </cell>
          <cell r="Q67">
            <v>0</v>
          </cell>
          <cell r="R67">
            <v>1</v>
          </cell>
          <cell r="S67">
            <v>3</v>
          </cell>
          <cell r="T67">
            <v>3</v>
          </cell>
        </row>
        <row r="67">
          <cell r="V67">
            <v>879.99</v>
          </cell>
          <cell r="W67">
            <v>699.99</v>
          </cell>
          <cell r="X67">
            <v>699.99</v>
          </cell>
          <cell r="Y67">
            <v>0</v>
          </cell>
          <cell r="Z67" t="str">
            <v>NoExcessInventory</v>
          </cell>
          <cell r="AA67">
            <v>0</v>
          </cell>
          <cell r="AB67">
            <v>0</v>
          </cell>
          <cell r="AC67">
            <v>0</v>
          </cell>
          <cell r="AD67">
            <v>0</v>
          </cell>
          <cell r="AE67">
            <v>0</v>
          </cell>
          <cell r="AF67">
            <v>0.25</v>
          </cell>
          <cell r="AG67">
            <v>0.014625</v>
          </cell>
          <cell r="AH67" t="str">
            <v>cubic meter</v>
          </cell>
          <cell r="AI67" t="str">
            <v>Standard</v>
          </cell>
          <cell r="AJ67">
            <v>0.160875</v>
          </cell>
          <cell r="AK67" t="str">
            <v>DE</v>
          </cell>
          <cell r="AL67" t="str">
            <v>gl_biss</v>
          </cell>
          <cell r="AM67">
            <v>98309</v>
          </cell>
          <cell r="AN67">
            <v>176</v>
          </cell>
          <cell r="AO67">
            <v>0</v>
          </cell>
          <cell r="AP67">
            <v>44</v>
          </cell>
          <cell r="AQ67">
            <v>47</v>
          </cell>
          <cell r="AR67">
            <v>705.88</v>
          </cell>
          <cell r="AS67">
            <v>0</v>
          </cell>
          <cell r="AT67">
            <v>571.42</v>
          </cell>
          <cell r="AU67">
            <v>2091.42</v>
          </cell>
          <cell r="AV67">
            <v>2091.42</v>
          </cell>
          <cell r="AW67">
            <v>1</v>
          </cell>
          <cell r="AX67">
            <v>0</v>
          </cell>
          <cell r="AY67">
            <v>0</v>
          </cell>
          <cell r="AZ67">
            <v>0</v>
          </cell>
          <cell r="BA67">
            <v>8</v>
          </cell>
          <cell r="BB67">
            <v>0</v>
          </cell>
          <cell r="BC67">
            <v>0</v>
          </cell>
          <cell r="BD67">
            <v>0</v>
          </cell>
          <cell r="BE67">
            <v>0</v>
          </cell>
          <cell r="BF67">
            <v>0</v>
          </cell>
          <cell r="BG67">
            <v>0</v>
          </cell>
          <cell r="BH67">
            <v>1</v>
          </cell>
          <cell r="BI67">
            <v>0</v>
          </cell>
          <cell r="BJ67">
            <v>0</v>
          </cell>
          <cell r="BK67">
            <v>0</v>
          </cell>
          <cell r="BL67">
            <v>0</v>
          </cell>
          <cell r="BM67">
            <v>0</v>
          </cell>
          <cell r="BN67">
            <v>0</v>
          </cell>
          <cell r="BO67">
            <v>8</v>
          </cell>
          <cell r="BP67">
            <v>15.91</v>
          </cell>
          <cell r="BQ67">
            <v>0</v>
          </cell>
          <cell r="BR67">
            <v>0</v>
          </cell>
          <cell r="BS67">
            <v>0</v>
          </cell>
          <cell r="BT67">
            <v>0</v>
          </cell>
          <cell r="BU67">
            <v>332</v>
          </cell>
          <cell r="BV67">
            <v>3</v>
          </cell>
        </row>
        <row r="67">
          <cell r="BX67">
            <v>0</v>
          </cell>
        </row>
        <row r="67">
          <cell r="BZ67">
            <v>46181</v>
          </cell>
          <cell r="CA67" t="str">
            <v>Yes</v>
          </cell>
          <cell r="CB67" t="str">
            <v>No</v>
          </cell>
          <cell r="CC67">
            <v>200.5</v>
          </cell>
          <cell r="CD67">
            <v>332</v>
          </cell>
          <cell r="CE67">
            <v>46183</v>
          </cell>
          <cell r="CF67">
            <v>11</v>
          </cell>
          <cell r="CG67">
            <v>0</v>
          </cell>
          <cell r="CH67">
            <v>0</v>
          </cell>
          <cell r="CI67">
            <v>0</v>
          </cell>
          <cell r="CJ67">
            <v>0</v>
          </cell>
          <cell r="CK67">
            <v>176</v>
          </cell>
          <cell r="CL67" t="str">
            <v>N</v>
          </cell>
        </row>
        <row r="68">
          <cell r="A68" t="str">
            <v>fnsku</v>
          </cell>
          <cell r="B68" t="str">
            <v>snapshot-date</v>
          </cell>
          <cell r="C68" t="str">
            <v>sku</v>
          </cell>
          <cell r="D68" t="str">
            <v>fnsku</v>
          </cell>
          <cell r="E68" t="str">
            <v>asin</v>
          </cell>
          <cell r="F68" t="str">
            <v>product-name</v>
          </cell>
          <cell r="G68" t="str">
            <v>condition</v>
          </cell>
          <cell r="H68" t="str">
            <v>available</v>
          </cell>
          <cell r="I68" t="str">
            <v>pending-removal-quantity</v>
          </cell>
          <cell r="J68" t="str">
            <v>inv-age-0-to-90-days</v>
          </cell>
          <cell r="K68" t="str">
            <v>inv-age-91-to-180-days</v>
          </cell>
          <cell r="L68" t="str">
            <v>inv-age-181-to-270-days</v>
          </cell>
          <cell r="M68" t="str">
            <v>inv-age-271-to-365-days</v>
          </cell>
          <cell r="N68" t="str">
            <v>inv-age-366-to-455-days</v>
          </cell>
          <cell r="O68" t="str">
            <v>inv-age-456-plus-days</v>
          </cell>
          <cell r="P68" t="str">
            <v>currency</v>
          </cell>
          <cell r="Q68" t="str">
            <v>units-shipped-t7</v>
          </cell>
          <cell r="R68" t="str">
            <v>units-shipped-t30</v>
          </cell>
          <cell r="S68" t="str">
            <v>units-shipped-t60</v>
          </cell>
          <cell r="T68" t="str">
            <v>units-shipped-t90</v>
          </cell>
          <cell r="U68" t="str">
            <v>alert</v>
          </cell>
          <cell r="V68" t="str">
            <v>your-price</v>
          </cell>
          <cell r="W68" t="str">
            <v>sales-price</v>
          </cell>
          <cell r="X68" t="str">
            <v>lowest-price-new-plus-shipping</v>
          </cell>
          <cell r="Y68" t="str">
            <v>lowest-price-used</v>
          </cell>
          <cell r="Z68" t="str">
            <v>recommended-action</v>
          </cell>
          <cell r="AA68" t="str">
            <v>DEPRECATED healthy-inventory-level</v>
          </cell>
          <cell r="AB68" t="str">
            <v>recommended-sales-price</v>
          </cell>
          <cell r="AC68" t="str">
            <v>recommended-sale-duration-days</v>
          </cell>
          <cell r="AD68" t="str">
            <v>recommended-removal-quantity</v>
          </cell>
          <cell r="AE68" t="str">
            <v>estimated-cost-savings-of-recommended-actions</v>
          </cell>
          <cell r="AF68" t="str">
            <v>sell-through</v>
          </cell>
          <cell r="AG68" t="str">
            <v>item-volume</v>
          </cell>
          <cell r="AH68" t="str">
            <v>volume-unit-measurement</v>
          </cell>
          <cell r="AI68" t="str">
            <v>storage-type</v>
          </cell>
          <cell r="AJ68" t="str">
            <v>storage-volume</v>
          </cell>
          <cell r="AK68" t="str">
            <v>marketplace</v>
          </cell>
          <cell r="AL68" t="str">
            <v>product-group</v>
          </cell>
          <cell r="AM68" t="str">
            <v>sales-rank</v>
          </cell>
          <cell r="AN68" t="str">
            <v>days-of-supply</v>
          </cell>
          <cell r="AO68" t="str">
            <v>estimated-excess-quantity</v>
          </cell>
          <cell r="AP68" t="str">
            <v>weeks-of-cover-t30</v>
          </cell>
          <cell r="AQ68" t="str">
            <v>weeks-of-cover-t90</v>
          </cell>
          <cell r="AR68" t="str">
            <v>featuredoffer-price</v>
          </cell>
          <cell r="AS68" t="str">
            <v>sales-shipped-last-7-days</v>
          </cell>
          <cell r="AT68" t="str">
            <v>sales-shipped-last-30-days</v>
          </cell>
          <cell r="AU68" t="str">
            <v>sales-shipped-last-60-days</v>
          </cell>
          <cell r="AV68" t="str">
            <v>sales-shipped-last-90-days</v>
          </cell>
          <cell r="AW68" t="str">
            <v>inv-age-0-to-30-days</v>
          </cell>
          <cell r="AX68" t="str">
            <v>inv-age-31-to-60-days</v>
          </cell>
          <cell r="AY68" t="str">
            <v>inv-age-61-to-90-days</v>
          </cell>
          <cell r="AZ68" t="str">
            <v>inv-age-181-to-330-days</v>
          </cell>
          <cell r="BA68" t="str">
            <v>inv-age-331-to-365-days</v>
          </cell>
          <cell r="BB68" t="str">
            <v>estimated-storage-cost-next-month</v>
          </cell>
          <cell r="BC68" t="str">
            <v>inbound-quantity</v>
          </cell>
          <cell r="BD68" t="str">
            <v>inbound-working</v>
          </cell>
          <cell r="BE68" t="str">
            <v>inbound-shipped</v>
          </cell>
          <cell r="BF68" t="str">
            <v>inbound-received</v>
          </cell>
          <cell r="BG68" t="str">
            <v>no-sale-last-6-months</v>
          </cell>
          <cell r="BH68" t="str">
            <v>Total Reserved Quantity</v>
          </cell>
          <cell r="BI68" t="str">
            <v>unfulfillable-quantity</v>
          </cell>
          <cell r="BJ68" t="str">
            <v>quantity-to-be-charged-ais-181-210-days</v>
          </cell>
          <cell r="BK68" t="str">
            <v>estimated-ais-181-210-days</v>
          </cell>
          <cell r="BL68" t="str">
            <v>quantity-to-be-charged-ais-211-240-days</v>
          </cell>
          <cell r="BM68" t="str">
            <v>estimated-ais-211-240-days</v>
          </cell>
          <cell r="BN68" t="str">
            <v>quantity-to-be-charged-ais-241-270-days</v>
          </cell>
          <cell r="BO68" t="str">
            <v>estimated-ais-241-270-days</v>
          </cell>
          <cell r="BP68" t="str">
            <v>quantity-to-be-charged-ais-271-300-days</v>
          </cell>
          <cell r="BQ68" t="str">
            <v>estimated-ais-271-300-days</v>
          </cell>
          <cell r="BR68" t="str">
            <v>quantity-to-be-charged-ais-301-330-days</v>
          </cell>
          <cell r="BS68" t="str">
            <v>estimated-ais-301-330-days</v>
          </cell>
          <cell r="BT68" t="str">
            <v>quantity-to-be-charged-ais-331-365-days</v>
          </cell>
          <cell r="BU68" t="str">
            <v>estimated-ais-331-365-days</v>
          </cell>
          <cell r="BV68" t="str">
            <v>quantity-to-be-charged-ais-366-455-days</v>
          </cell>
          <cell r="BW68" t="str">
            <v>estimated-ais-366-455-days</v>
          </cell>
          <cell r="BX68" t="str">
            <v>quantity-to-be-charged-ais-456-plus-days</v>
          </cell>
          <cell r="BY68" t="str">
            <v>estimated-ais-456-plus-days</v>
          </cell>
          <cell r="BZ68" t="str">
            <v>historical-days-of-supply</v>
          </cell>
          <cell r="CA68" t="str">
            <v>fba-minimum-inventory-level</v>
          </cell>
          <cell r="CB68" t="str">
            <v>fba-inventory-level-health-status</v>
          </cell>
          <cell r="CC68" t="str">
            <v>Recommended ship-in quantity</v>
          </cell>
          <cell r="CD68" t="str">
            <v>Recommended ship-in date</v>
          </cell>
          <cell r="CE68" t="str">
            <v>Last updated date for Historical Days of Supply</v>
          </cell>
          <cell r="CF68" t="str">
            <v>Exempted from Low-Inventory-Level fee?</v>
          </cell>
          <cell r="CG68" t="str">
            <v>Low-Inventory-Level fee applied in current week?</v>
          </cell>
          <cell r="CH68" t="str">
            <v>Short term historical days of supply</v>
          </cell>
          <cell r="CI68" t="str">
            <v>Long term historical days of supply</v>
          </cell>
          <cell r="CJ68" t="str">
            <v>Inventory age snapshot date</v>
          </cell>
          <cell r="CK68" t="str">
            <v>Inventory Supply at FBA</v>
          </cell>
          <cell r="CL68" t="str">
            <v>Reserved FC Transfer</v>
          </cell>
          <cell r="CM68" t="str">
            <v>Reserved FC Processing</v>
          </cell>
          <cell r="CN68" t="str">
            <v>Reserved Customer Order</v>
          </cell>
        </row>
        <row r="69">
          <cell r="A69" t="str">
            <v>X004TENLMN</v>
          </cell>
          <cell r="B69" t="str">
            <v>CZ Amazon US</v>
          </cell>
          <cell r="C69" t="str">
            <v>CZ-Spray</v>
          </cell>
          <cell r="D69" t="str">
            <v>X004TENLMN</v>
          </cell>
          <cell r="E69" t="str">
            <v>B0FNWS3KQ1</v>
          </cell>
          <cell r="F69" t="str">
            <v>3D Scanner Scanning Spray, Use for Transparent, Black, and Reflective Surfaces, 400ml/13Oz</v>
          </cell>
          <cell r="G69" t="str">
            <v>New</v>
          </cell>
          <cell r="H69">
            <v>2</v>
          </cell>
          <cell r="I69">
            <v>0</v>
          </cell>
          <cell r="J69">
            <v>3</v>
          </cell>
          <cell r="K69">
            <v>0</v>
          </cell>
          <cell r="L69">
            <v>0</v>
          </cell>
          <cell r="M69">
            <v>0</v>
          </cell>
          <cell r="N69">
            <v>0</v>
          </cell>
          <cell r="O69">
            <v>0</v>
          </cell>
          <cell r="P69" t="str">
            <v>USD</v>
          </cell>
          <cell r="Q69">
            <v>0</v>
          </cell>
          <cell r="R69">
            <v>27</v>
          </cell>
          <cell r="S69">
            <v>75</v>
          </cell>
          <cell r="T69">
            <v>177</v>
          </cell>
          <cell r="U69" t="str">
            <v>Low traffic</v>
          </cell>
          <cell r="V69">
            <v>39</v>
          </cell>
          <cell r="W69">
            <v>0</v>
          </cell>
          <cell r="X69">
            <v>39</v>
          </cell>
          <cell r="Y69">
            <v>0</v>
          </cell>
          <cell r="Z69" t="str">
            <v>NoRestockExcessActionRequired</v>
          </cell>
        </row>
        <row r="69">
          <cell r="AB69">
            <v>0</v>
          </cell>
          <cell r="AC69">
            <v>0</v>
          </cell>
          <cell r="AD69">
            <v>0</v>
          </cell>
          <cell r="AE69">
            <v>0</v>
          </cell>
          <cell r="AF69">
            <v>5.05</v>
          </cell>
          <cell r="AG69">
            <v>0.025665</v>
          </cell>
          <cell r="AH69" t="str">
            <v>cubic feet</v>
          </cell>
          <cell r="AI69" t="str">
            <v>Aerosol</v>
          </cell>
          <cell r="AJ69">
            <v>0.05133</v>
          </cell>
          <cell r="AK69" t="str">
            <v>US</v>
          </cell>
          <cell r="AL69" t="str">
            <v>gl_biss</v>
          </cell>
          <cell r="AM69">
            <v>250271</v>
          </cell>
          <cell r="AN69">
            <v>137</v>
          </cell>
          <cell r="AO69">
            <v>0</v>
          </cell>
          <cell r="AP69">
            <v>23</v>
          </cell>
          <cell r="AQ69">
            <v>11</v>
          </cell>
          <cell r="AR69">
            <v>39</v>
          </cell>
          <cell r="AS69">
            <v>0</v>
          </cell>
          <cell r="AT69">
            <v>1053</v>
          </cell>
          <cell r="AU69">
            <v>2924.1</v>
          </cell>
          <cell r="AV69">
            <v>6990.94</v>
          </cell>
          <cell r="AW69">
            <v>0</v>
          </cell>
          <cell r="AX69">
            <v>0</v>
          </cell>
          <cell r="AY69">
            <v>3</v>
          </cell>
          <cell r="AZ69">
            <v>0</v>
          </cell>
          <cell r="BA69">
            <v>0</v>
          </cell>
          <cell r="BB69">
            <v>0.01</v>
          </cell>
          <cell r="BC69">
            <v>156</v>
          </cell>
          <cell r="BD69">
            <v>0</v>
          </cell>
          <cell r="BE69">
            <v>156</v>
          </cell>
          <cell r="BF69">
            <v>0</v>
          </cell>
        </row>
        <row r="69">
          <cell r="BH69">
            <v>0</v>
          </cell>
          <cell r="BI69">
            <v>0</v>
          </cell>
        </row>
        <row r="69">
          <cell r="BZ69">
            <v>29.5</v>
          </cell>
          <cell r="CA69">
            <v>80</v>
          </cell>
          <cell r="CB69" t="str">
            <v>Low stock</v>
          </cell>
        </row>
        <row r="69">
          <cell r="CE69">
            <v>46181</v>
          </cell>
          <cell r="CF69" t="str">
            <v>Yes</v>
          </cell>
          <cell r="CG69" t="str">
            <v>No</v>
          </cell>
          <cell r="CH69">
            <v>16.6</v>
          </cell>
          <cell r="CI69">
            <v>29.5</v>
          </cell>
          <cell r="CJ69">
            <v>46182</v>
          </cell>
          <cell r="CK69">
            <v>158</v>
          </cell>
          <cell r="CL69">
            <v>0</v>
          </cell>
          <cell r="CM69">
            <v>0</v>
          </cell>
          <cell r="CN69">
            <v>0</v>
          </cell>
        </row>
        <row r="70">
          <cell r="A70" t="str">
            <v>X004W9SZ5X</v>
          </cell>
          <cell r="B70" t="str">
            <v>CZ Amazon US</v>
          </cell>
          <cell r="C70" t="str">
            <v>Smart Grip Cable</v>
          </cell>
          <cell r="D70" t="str">
            <v>X004W9SZ5X</v>
          </cell>
          <cell r="E70" t="str">
            <v>B0FYC6T4XS</v>
          </cell>
          <cell r="F70" t="str">
            <v>Data Cable for 3DMakerpro Smart Grip</v>
          </cell>
          <cell r="G70" t="str">
            <v>New</v>
          </cell>
          <cell r="H70">
            <v>11</v>
          </cell>
          <cell r="I70">
            <v>0</v>
          </cell>
          <cell r="J70">
            <v>0</v>
          </cell>
          <cell r="K70">
            <v>1</v>
          </cell>
          <cell r="L70">
            <v>10</v>
          </cell>
          <cell r="M70">
            <v>0</v>
          </cell>
          <cell r="N70">
            <v>0</v>
          </cell>
          <cell r="O70">
            <v>0</v>
          </cell>
          <cell r="P70" t="str">
            <v>USD</v>
          </cell>
          <cell r="Q70">
            <v>0</v>
          </cell>
          <cell r="R70">
            <v>1</v>
          </cell>
          <cell r="S70">
            <v>7</v>
          </cell>
          <cell r="T70">
            <v>7</v>
          </cell>
          <cell r="U70" t="str">
            <v>Low traffic</v>
          </cell>
          <cell r="V70">
            <v>9.9</v>
          </cell>
          <cell r="W70">
            <v>0</v>
          </cell>
          <cell r="X70">
            <v>9.9</v>
          </cell>
          <cell r="Y70">
            <v>0</v>
          </cell>
          <cell r="Z70" t="str">
            <v>NoRestockExcessActionRequired</v>
          </cell>
        </row>
        <row r="70">
          <cell r="AB70">
            <v>0</v>
          </cell>
          <cell r="AC70">
            <v>0</v>
          </cell>
          <cell r="AD70">
            <v>0</v>
          </cell>
          <cell r="AE70">
            <v>66.13</v>
          </cell>
          <cell r="AF70">
            <v>0.42</v>
          </cell>
          <cell r="AG70">
            <v>0.006944</v>
          </cell>
          <cell r="AH70" t="str">
            <v>cubic feet</v>
          </cell>
          <cell r="AI70" t="str">
            <v>Standard</v>
          </cell>
          <cell r="AJ70">
            <v>0.076384</v>
          </cell>
          <cell r="AK70" t="str">
            <v>US</v>
          </cell>
          <cell r="AL70" t="str">
            <v>gl_biss</v>
          </cell>
          <cell r="AM70">
            <v>753123</v>
          </cell>
          <cell r="AN70">
            <v>251</v>
          </cell>
          <cell r="AO70">
            <v>11</v>
          </cell>
          <cell r="AP70">
            <v>44</v>
          </cell>
          <cell r="AQ70">
            <v>20</v>
          </cell>
          <cell r="AR70">
            <v>9.9</v>
          </cell>
          <cell r="AS70">
            <v>0</v>
          </cell>
          <cell r="AT70">
            <v>9.9</v>
          </cell>
          <cell r="AU70">
            <v>68.34</v>
          </cell>
          <cell r="AV70">
            <v>68.34</v>
          </cell>
          <cell r="AW70">
            <v>0</v>
          </cell>
          <cell r="AX70">
            <v>0</v>
          </cell>
          <cell r="AY70">
            <v>0</v>
          </cell>
          <cell r="AZ70">
            <v>10</v>
          </cell>
          <cell r="BA70">
            <v>0</v>
          </cell>
          <cell r="BB70">
            <v>0.12</v>
          </cell>
          <cell r="BC70">
            <v>0</v>
          </cell>
          <cell r="BD70">
            <v>0</v>
          </cell>
          <cell r="BE70">
            <v>0</v>
          </cell>
          <cell r="BF70">
            <v>0</v>
          </cell>
        </row>
        <row r="70">
          <cell r="BH70">
            <v>0</v>
          </cell>
          <cell r="BI70">
            <v>0</v>
          </cell>
          <cell r="BJ70">
            <v>3</v>
          </cell>
          <cell r="BK70">
            <v>0</v>
          </cell>
          <cell r="BL70">
            <v>8</v>
          </cell>
          <cell r="BM70">
            <v>0.08</v>
          </cell>
          <cell r="BN70">
            <v>0</v>
          </cell>
          <cell r="BO70">
            <v>0</v>
          </cell>
          <cell r="BP70">
            <v>0</v>
          </cell>
          <cell r="BQ70">
            <v>0</v>
          </cell>
          <cell r="BR70">
            <v>0</v>
          </cell>
          <cell r="BS70">
            <v>0</v>
          </cell>
          <cell r="BT70">
            <v>0</v>
          </cell>
          <cell r="BU70">
            <v>0</v>
          </cell>
          <cell r="BV70">
            <v>0</v>
          </cell>
          <cell r="BW70">
            <v>0</v>
          </cell>
          <cell r="BX70">
            <v>0</v>
          </cell>
          <cell r="BY70">
            <v>0</v>
          </cell>
          <cell r="BZ70">
            <v>395</v>
          </cell>
          <cell r="CA70">
            <v>2</v>
          </cell>
          <cell r="CB70" t="str">
            <v>Excess</v>
          </cell>
        </row>
        <row r="70">
          <cell r="CE70">
            <v>46181</v>
          </cell>
          <cell r="CF70" t="str">
            <v>Yes</v>
          </cell>
          <cell r="CG70" t="str">
            <v>No</v>
          </cell>
          <cell r="CH70">
            <v>395</v>
          </cell>
          <cell r="CI70">
            <v>216.1</v>
          </cell>
          <cell r="CJ70">
            <v>46182</v>
          </cell>
          <cell r="CK70">
            <v>11</v>
          </cell>
          <cell r="CL70">
            <v>0</v>
          </cell>
          <cell r="CM70">
            <v>0</v>
          </cell>
          <cell r="CN70">
            <v>0</v>
          </cell>
        </row>
        <row r="71">
          <cell r="A71" t="str">
            <v>X004XR6DRV</v>
          </cell>
          <cell r="B71" t="str">
            <v>CZ Amazon US</v>
          </cell>
          <cell r="C71" t="str">
            <v>CZ-Toucan Standard</v>
          </cell>
          <cell r="D71" t="str">
            <v>X004XR6DRV</v>
          </cell>
          <cell r="E71" t="str">
            <v>B0G58PRCPX</v>
          </cell>
          <cell r="F71" t="str">
            <v>3DMakerpro 3D Scanner Toucan, All-in-One Handheld 3D Scanners for 3D Printing, Easy Scanning for Small to Large Objects, No PC Required, 32GB+256GB (Standard)</v>
          </cell>
          <cell r="G71" t="str">
            <v>New</v>
          </cell>
          <cell r="H71">
            <v>21</v>
          </cell>
          <cell r="I71">
            <v>0</v>
          </cell>
          <cell r="J71">
            <v>0</v>
          </cell>
          <cell r="K71">
            <v>21</v>
          </cell>
          <cell r="L71">
            <v>0</v>
          </cell>
          <cell r="M71">
            <v>0</v>
          </cell>
          <cell r="N71">
            <v>0</v>
          </cell>
          <cell r="O71">
            <v>0</v>
          </cell>
          <cell r="P71" t="str">
            <v>USD</v>
          </cell>
          <cell r="Q71">
            <v>0</v>
          </cell>
          <cell r="R71">
            <v>1</v>
          </cell>
          <cell r="S71">
            <v>1</v>
          </cell>
          <cell r="T71">
            <v>2</v>
          </cell>
          <cell r="U71" t="str">
            <v>Low traffic</v>
          </cell>
          <cell r="V71">
            <v>1999</v>
          </cell>
          <cell r="W71">
            <v>0</v>
          </cell>
          <cell r="X71">
            <v>1999</v>
          </cell>
          <cell r="Y71">
            <v>0</v>
          </cell>
          <cell r="Z71" t="str">
            <v>Advertise listing</v>
          </cell>
        </row>
        <row r="71">
          <cell r="AB71">
            <v>0</v>
          </cell>
          <cell r="AC71">
            <v>0</v>
          </cell>
          <cell r="AD71">
            <v>0</v>
          </cell>
          <cell r="AE71">
            <v>28597.84</v>
          </cell>
          <cell r="AF71">
            <v>0.08</v>
          </cell>
          <cell r="AG71">
            <v>0.222396</v>
          </cell>
          <cell r="AH71" t="str">
            <v>cubic feet</v>
          </cell>
          <cell r="AI71" t="str">
            <v>Standard</v>
          </cell>
          <cell r="AJ71">
            <v>4.670316</v>
          </cell>
          <cell r="AK71" t="str">
            <v>US</v>
          </cell>
          <cell r="AL71" t="str">
            <v>gl_office_product</v>
          </cell>
          <cell r="AM71">
            <v>357007</v>
          </cell>
          <cell r="AN71">
            <v>366</v>
          </cell>
          <cell r="AO71">
            <v>21</v>
          </cell>
          <cell r="AP71">
            <v>84</v>
          </cell>
          <cell r="AQ71">
            <v>136</v>
          </cell>
          <cell r="AR71">
            <v>1999</v>
          </cell>
          <cell r="AS71">
            <v>0</v>
          </cell>
          <cell r="AT71">
            <v>1999</v>
          </cell>
          <cell r="AU71">
            <v>1999</v>
          </cell>
          <cell r="AV71">
            <v>3598.2</v>
          </cell>
          <cell r="AW71">
            <v>0</v>
          </cell>
          <cell r="AX71">
            <v>0</v>
          </cell>
          <cell r="AY71">
            <v>0</v>
          </cell>
          <cell r="AZ71">
            <v>0</v>
          </cell>
          <cell r="BA71">
            <v>0</v>
          </cell>
          <cell r="BB71">
            <v>4.24</v>
          </cell>
          <cell r="BC71">
            <v>0</v>
          </cell>
          <cell r="BD71">
            <v>0</v>
          </cell>
          <cell r="BE71">
            <v>0</v>
          </cell>
          <cell r="BF71">
            <v>0</v>
          </cell>
        </row>
        <row r="71">
          <cell r="BH71">
            <v>3</v>
          </cell>
          <cell r="BI71">
            <v>0</v>
          </cell>
        </row>
        <row r="71">
          <cell r="BZ71">
            <v>1124</v>
          </cell>
          <cell r="CA71">
            <v>3</v>
          </cell>
          <cell r="CB71" t="str">
            <v>Excess</v>
          </cell>
        </row>
        <row r="71">
          <cell r="CE71">
            <v>46181</v>
          </cell>
          <cell r="CF71" t="str">
            <v>Yes</v>
          </cell>
          <cell r="CG71" t="str">
            <v>No</v>
          </cell>
          <cell r="CH71">
            <v>737</v>
          </cell>
          <cell r="CI71">
            <v>1124</v>
          </cell>
          <cell r="CJ71">
            <v>46182</v>
          </cell>
          <cell r="CK71">
            <v>21</v>
          </cell>
          <cell r="CL71">
            <v>0</v>
          </cell>
          <cell r="CM71">
            <v>3</v>
          </cell>
          <cell r="CN71">
            <v>0</v>
          </cell>
        </row>
        <row r="72">
          <cell r="A72" t="str">
            <v>X004RX1BKP</v>
          </cell>
          <cell r="B72" t="str">
            <v>CZ Amazon US</v>
          </cell>
          <cell r="C72" t="str">
            <v>CZ-Tripod</v>
          </cell>
          <cell r="D72" t="str">
            <v>X004RX1BKP</v>
          </cell>
          <cell r="E72" t="str">
            <v>B0FJS5TY1R</v>
          </cell>
          <cell r="F72" t="str">
            <v>3DMakerpro 3D Scanner Tripod Holder for Moose/Moose Lite Seal/Seal Lite 3D Scanner</v>
          </cell>
          <cell r="G72" t="str">
            <v>New</v>
          </cell>
          <cell r="H72">
            <v>0</v>
          </cell>
          <cell r="I72">
            <v>0</v>
          </cell>
          <cell r="J72">
            <v>2</v>
          </cell>
          <cell r="K72">
            <v>0</v>
          </cell>
          <cell r="L72">
            <v>0</v>
          </cell>
          <cell r="M72">
            <v>0</v>
          </cell>
          <cell r="N72">
            <v>0</v>
          </cell>
          <cell r="O72">
            <v>0</v>
          </cell>
          <cell r="P72" t="str">
            <v>USD</v>
          </cell>
          <cell r="Q72">
            <v>2</v>
          </cell>
          <cell r="R72">
            <v>8</v>
          </cell>
          <cell r="S72">
            <v>31</v>
          </cell>
          <cell r="T72">
            <v>50</v>
          </cell>
          <cell r="U72" t="str">
            <v>Low traffic</v>
          </cell>
          <cell r="V72">
            <v>39</v>
          </cell>
          <cell r="W72">
            <v>0</v>
          </cell>
          <cell r="X72">
            <v>39</v>
          </cell>
          <cell r="Y72">
            <v>0</v>
          </cell>
          <cell r="Z72" t="str">
            <v>NoRestockExcessActionRequired</v>
          </cell>
        </row>
        <row r="72">
          <cell r="AB72">
            <v>0</v>
          </cell>
          <cell r="AC72">
            <v>0</v>
          </cell>
          <cell r="AD72">
            <v>0</v>
          </cell>
          <cell r="AE72">
            <v>0</v>
          </cell>
          <cell r="AF72">
            <v>2.99</v>
          </cell>
          <cell r="AG72">
            <v>0.015201</v>
          </cell>
          <cell r="AH72" t="str">
            <v>cubic feet</v>
          </cell>
          <cell r="AI72" t="str">
            <v>Standard</v>
          </cell>
          <cell r="AJ72">
            <v>0</v>
          </cell>
          <cell r="AK72" t="str">
            <v>US</v>
          </cell>
          <cell r="AL72" t="str">
            <v>gl_biss</v>
          </cell>
          <cell r="AM72">
            <v>296668</v>
          </cell>
          <cell r="AN72">
            <v>183</v>
          </cell>
          <cell r="AO72">
            <v>0</v>
          </cell>
          <cell r="AP72">
            <v>49</v>
          </cell>
          <cell r="AQ72">
            <v>25</v>
          </cell>
          <cell r="AR72">
            <v>39</v>
          </cell>
          <cell r="AS72">
            <v>76.05</v>
          </cell>
          <cell r="AT72">
            <v>308.1</v>
          </cell>
          <cell r="AU72">
            <v>1193.4</v>
          </cell>
          <cell r="AV72">
            <v>1929.56</v>
          </cell>
          <cell r="AW72">
            <v>2</v>
          </cell>
          <cell r="AX72">
            <v>0</v>
          </cell>
          <cell r="AY72">
            <v>0</v>
          </cell>
          <cell r="AZ72">
            <v>0</v>
          </cell>
          <cell r="BA72">
            <v>0</v>
          </cell>
          <cell r="BB72">
            <v>1.01</v>
          </cell>
          <cell r="BC72">
            <v>99</v>
          </cell>
          <cell r="BD72">
            <v>0</v>
          </cell>
          <cell r="BE72">
            <v>99</v>
          </cell>
          <cell r="BF72">
            <v>0</v>
          </cell>
        </row>
        <row r="72">
          <cell r="BH72">
            <v>1</v>
          </cell>
          <cell r="BI72">
            <v>0</v>
          </cell>
        </row>
        <row r="72">
          <cell r="BZ72">
            <v>32.3</v>
          </cell>
          <cell r="CA72">
            <v>27</v>
          </cell>
          <cell r="CB72" t="str">
            <v>Out of stock</v>
          </cell>
        </row>
        <row r="72">
          <cell r="CE72">
            <v>46181</v>
          </cell>
          <cell r="CF72" t="str">
            <v>Yes</v>
          </cell>
          <cell r="CG72" t="str">
            <v>No</v>
          </cell>
          <cell r="CH72">
            <v>7.5</v>
          </cell>
          <cell r="CI72">
            <v>32.3</v>
          </cell>
          <cell r="CJ72">
            <v>46182</v>
          </cell>
          <cell r="CK72">
            <v>99</v>
          </cell>
          <cell r="CL72">
            <v>0</v>
          </cell>
          <cell r="CM72">
            <v>0</v>
          </cell>
          <cell r="CN72">
            <v>1</v>
          </cell>
        </row>
        <row r="73">
          <cell r="A73" t="str">
            <v>X004S1S8AR</v>
          </cell>
          <cell r="B73" t="str">
            <v>CZ Amazon US</v>
          </cell>
          <cell r="C73" t="str">
            <v>CZ-Moose Lite Standard</v>
          </cell>
          <cell r="D73" t="str">
            <v>X004S1S8AR</v>
          </cell>
          <cell r="E73" t="str">
            <v>B0FK4T67ZQ</v>
          </cell>
          <cell r="F73" t="str">
            <v>3DMakerpro 3D Scanner Moose Lite, Medium-Format 3D Scanners for Printing, NIR Light Source, Up to 0.05mm Accuracy, Mono Texture Scanning</v>
          </cell>
          <cell r="G73" t="str">
            <v>New</v>
          </cell>
          <cell r="H73">
            <v>27</v>
          </cell>
          <cell r="I73">
            <v>0</v>
          </cell>
          <cell r="J73">
            <v>30</v>
          </cell>
          <cell r="K73">
            <v>0</v>
          </cell>
          <cell r="L73">
            <v>0</v>
          </cell>
          <cell r="M73">
            <v>0</v>
          </cell>
          <cell r="N73">
            <v>0</v>
          </cell>
          <cell r="O73">
            <v>0</v>
          </cell>
          <cell r="P73" t="str">
            <v>USD</v>
          </cell>
          <cell r="Q73">
            <v>5</v>
          </cell>
          <cell r="R73">
            <v>44</v>
          </cell>
          <cell r="S73">
            <v>62</v>
          </cell>
          <cell r="T73">
            <v>81</v>
          </cell>
        </row>
        <row r="73">
          <cell r="V73">
            <v>399</v>
          </cell>
          <cell r="W73">
            <v>0</v>
          </cell>
          <cell r="X73">
            <v>399</v>
          </cell>
          <cell r="Y73">
            <v>375.26</v>
          </cell>
          <cell r="Z73" t="str">
            <v>CreateShippingPlan</v>
          </cell>
        </row>
        <row r="73">
          <cell r="AB73">
            <v>0</v>
          </cell>
          <cell r="AC73">
            <v>0</v>
          </cell>
          <cell r="AD73">
            <v>0</v>
          </cell>
          <cell r="AE73">
            <v>0</v>
          </cell>
          <cell r="AF73">
            <v>1.63</v>
          </cell>
          <cell r="AG73">
            <v>0.063164</v>
          </cell>
          <cell r="AH73" t="str">
            <v>cubic feet</v>
          </cell>
          <cell r="AI73" t="str">
            <v>Standard</v>
          </cell>
          <cell r="AJ73">
            <v>1.705428</v>
          </cell>
          <cell r="AK73" t="str">
            <v>US</v>
          </cell>
          <cell r="AL73" t="str">
            <v>gl_biss</v>
          </cell>
          <cell r="AM73">
            <v>116028</v>
          </cell>
          <cell r="AN73">
            <v>38</v>
          </cell>
          <cell r="AO73">
            <v>0</v>
          </cell>
          <cell r="AP73">
            <v>4</v>
          </cell>
          <cell r="AQ73">
            <v>7</v>
          </cell>
          <cell r="AR73">
            <v>399</v>
          </cell>
          <cell r="AS73">
            <v>1995</v>
          </cell>
          <cell r="AT73">
            <v>17556</v>
          </cell>
          <cell r="AU73">
            <v>24738</v>
          </cell>
          <cell r="AV73">
            <v>32319</v>
          </cell>
          <cell r="AW73">
            <v>1</v>
          </cell>
          <cell r="AX73">
            <v>29</v>
          </cell>
          <cell r="AY73">
            <v>0</v>
          </cell>
          <cell r="AZ73">
            <v>0</v>
          </cell>
          <cell r="BA73">
            <v>0</v>
          </cell>
          <cell r="BB73">
            <v>2.18</v>
          </cell>
          <cell r="BC73">
            <v>20</v>
          </cell>
          <cell r="BD73">
            <v>0</v>
          </cell>
          <cell r="BE73">
            <v>20</v>
          </cell>
          <cell r="BF73">
            <v>0</v>
          </cell>
        </row>
        <row r="73">
          <cell r="BH73">
            <v>0</v>
          </cell>
          <cell r="BI73">
            <v>7</v>
          </cell>
        </row>
        <row r="73">
          <cell r="BZ73">
            <v>61.2</v>
          </cell>
          <cell r="CA73">
            <v>31</v>
          </cell>
          <cell r="CB73" t="str">
            <v>Low stock</v>
          </cell>
          <cell r="CC73">
            <v>14</v>
          </cell>
          <cell r="CD73">
            <v>46191</v>
          </cell>
          <cell r="CE73">
            <v>46181</v>
          </cell>
          <cell r="CF73" t="str">
            <v>Yes</v>
          </cell>
          <cell r="CG73" t="str">
            <v>No</v>
          </cell>
          <cell r="CH73">
            <v>38.3</v>
          </cell>
          <cell r="CI73">
            <v>61.2</v>
          </cell>
          <cell r="CJ73">
            <v>46182</v>
          </cell>
          <cell r="CK73">
            <v>48</v>
          </cell>
          <cell r="CL73">
            <v>1</v>
          </cell>
          <cell r="CM73">
            <v>0</v>
          </cell>
          <cell r="CN73">
            <v>0</v>
          </cell>
        </row>
        <row r="74">
          <cell r="A74" t="str">
            <v>X004XQZNC3</v>
          </cell>
          <cell r="B74" t="str">
            <v>CZ Amazon US</v>
          </cell>
          <cell r="C74" t="str">
            <v>CZ-Toucan Premium</v>
          </cell>
          <cell r="D74" t="str">
            <v>X004XQZNC3</v>
          </cell>
          <cell r="E74" t="str">
            <v>B0G58TTPGM</v>
          </cell>
          <cell r="F74" t="str">
            <v>3DMakerpro 3D Scanner Toucan, All-in-One Handheld 3D Scanners for 3D Printing, Easy Scanning for Small to Large Objects, No PC Required, 32GB+256GB (Premium)</v>
          </cell>
          <cell r="G74" t="str">
            <v>New</v>
          </cell>
          <cell r="H74">
            <v>15</v>
          </cell>
          <cell r="I74">
            <v>0</v>
          </cell>
          <cell r="J74">
            <v>5</v>
          </cell>
          <cell r="K74">
            <v>11</v>
          </cell>
          <cell r="L74">
            <v>0</v>
          </cell>
          <cell r="M74">
            <v>0</v>
          </cell>
          <cell r="N74">
            <v>0</v>
          </cell>
          <cell r="O74">
            <v>0</v>
          </cell>
          <cell r="P74" t="str">
            <v>USD</v>
          </cell>
          <cell r="Q74">
            <v>0</v>
          </cell>
          <cell r="R74">
            <v>5</v>
          </cell>
          <cell r="S74">
            <v>16</v>
          </cell>
          <cell r="T74">
            <v>20</v>
          </cell>
          <cell r="U74" t="str">
            <v>Low traffic</v>
          </cell>
          <cell r="V74">
            <v>2049</v>
          </cell>
          <cell r="W74">
            <v>0</v>
          </cell>
          <cell r="X74">
            <v>2049</v>
          </cell>
          <cell r="Y74">
            <v>0</v>
          </cell>
          <cell r="Z74" t="str">
            <v>NoRestockExcessActionRequired</v>
          </cell>
        </row>
        <row r="74">
          <cell r="AB74">
            <v>0</v>
          </cell>
          <cell r="AC74">
            <v>0</v>
          </cell>
          <cell r="AD74">
            <v>0</v>
          </cell>
          <cell r="AE74">
            <v>0</v>
          </cell>
          <cell r="AF74">
            <v>0.75</v>
          </cell>
          <cell r="AG74">
            <v>0.222396</v>
          </cell>
          <cell r="AH74" t="str">
            <v>cubic feet</v>
          </cell>
          <cell r="AI74" t="str">
            <v>Standard</v>
          </cell>
          <cell r="AJ74">
            <v>3.33594</v>
          </cell>
          <cell r="AK74" t="str">
            <v>US</v>
          </cell>
          <cell r="AL74" t="str">
            <v>gl_office_product</v>
          </cell>
          <cell r="AM74">
            <v>357007</v>
          </cell>
          <cell r="AN74">
            <v>61</v>
          </cell>
          <cell r="AO74">
            <v>0</v>
          </cell>
          <cell r="AP74">
            <v>12</v>
          </cell>
          <cell r="AQ74">
            <v>9</v>
          </cell>
          <cell r="AR74">
            <v>2049</v>
          </cell>
          <cell r="AS74">
            <v>0</v>
          </cell>
          <cell r="AT74">
            <v>10245</v>
          </cell>
          <cell r="AU74">
            <v>32784</v>
          </cell>
          <cell r="AV74">
            <v>40980</v>
          </cell>
          <cell r="AW74">
            <v>1</v>
          </cell>
          <cell r="AX74">
            <v>3</v>
          </cell>
          <cell r="AY74">
            <v>1</v>
          </cell>
          <cell r="AZ74">
            <v>0</v>
          </cell>
          <cell r="BA74">
            <v>0</v>
          </cell>
          <cell r="BB74">
            <v>2.44</v>
          </cell>
          <cell r="BC74">
            <v>0</v>
          </cell>
          <cell r="BD74">
            <v>0</v>
          </cell>
          <cell r="BE74">
            <v>0</v>
          </cell>
          <cell r="BF74">
            <v>0</v>
          </cell>
        </row>
        <row r="74">
          <cell r="BH74">
            <v>0</v>
          </cell>
          <cell r="BI74">
            <v>1</v>
          </cell>
        </row>
        <row r="74">
          <cell r="BZ74">
            <v>111.4</v>
          </cell>
          <cell r="CA74">
            <v>11</v>
          </cell>
          <cell r="CB74" t="str">
            <v>Healthy</v>
          </cell>
          <cell r="CC74">
            <v>4</v>
          </cell>
          <cell r="CD74">
            <v>46191</v>
          </cell>
          <cell r="CE74">
            <v>46181</v>
          </cell>
          <cell r="CF74" t="str">
            <v>Yes</v>
          </cell>
          <cell r="CG74" t="str">
            <v>No</v>
          </cell>
          <cell r="CH74">
            <v>54.9</v>
          </cell>
          <cell r="CI74">
            <v>111.4</v>
          </cell>
          <cell r="CJ74">
            <v>46182</v>
          </cell>
          <cell r="CK74">
            <v>15</v>
          </cell>
          <cell r="CL74">
            <v>0</v>
          </cell>
          <cell r="CM74">
            <v>0</v>
          </cell>
          <cell r="CN74">
            <v>0</v>
          </cell>
        </row>
        <row r="75">
          <cell r="A75" t="str">
            <v>X004RXVRT5</v>
          </cell>
          <cell r="B75" t="str">
            <v>CZ Amazon US</v>
          </cell>
          <cell r="C75" t="str">
            <v>CZ-Seal Lite</v>
          </cell>
          <cell r="D75" t="str">
            <v>X004RXVRT5</v>
          </cell>
          <cell r="E75" t="str">
            <v>B0FJX8M5J3</v>
          </cell>
          <cell r="F75" t="str">
            <v>3DMakerpro 3D Scanner Seal Lite, Small-Format 3D Scanners for Printing, Blue Led Light Source, Up to 0.02mm Accuracy, Mono Texture Scanning</v>
          </cell>
          <cell r="G75" t="str">
            <v>New</v>
          </cell>
          <cell r="H75">
            <v>0</v>
          </cell>
          <cell r="I75">
            <v>0</v>
          </cell>
          <cell r="J75">
            <v>3</v>
          </cell>
          <cell r="K75">
            <v>0</v>
          </cell>
          <cell r="L75">
            <v>0</v>
          </cell>
          <cell r="M75">
            <v>0</v>
          </cell>
          <cell r="N75">
            <v>0</v>
          </cell>
          <cell r="O75">
            <v>0</v>
          </cell>
          <cell r="P75" t="str">
            <v>USD</v>
          </cell>
          <cell r="Q75">
            <v>10</v>
          </cell>
          <cell r="R75">
            <v>19</v>
          </cell>
          <cell r="S75">
            <v>31</v>
          </cell>
          <cell r="T75">
            <v>42</v>
          </cell>
        </row>
        <row r="75">
          <cell r="V75">
            <v>359</v>
          </cell>
          <cell r="W75">
            <v>0</v>
          </cell>
          <cell r="X75">
            <v>359</v>
          </cell>
          <cell r="Y75">
            <v>0</v>
          </cell>
          <cell r="Z75" t="str">
            <v>NoRestockExcessActionRequired</v>
          </cell>
        </row>
        <row r="75">
          <cell r="AB75">
            <v>0</v>
          </cell>
          <cell r="AC75">
            <v>0</v>
          </cell>
          <cell r="AD75">
            <v>0</v>
          </cell>
          <cell r="AE75">
            <v>0</v>
          </cell>
          <cell r="AF75">
            <v>2.56</v>
          </cell>
          <cell r="AG75">
            <v>0.08746</v>
          </cell>
          <cell r="AH75" t="str">
            <v>cubic feet</v>
          </cell>
          <cell r="AI75" t="str">
            <v>Standard</v>
          </cell>
          <cell r="AJ75">
            <v>0</v>
          </cell>
          <cell r="AK75" t="str">
            <v>US</v>
          </cell>
          <cell r="AL75" t="str">
            <v>gl_biss</v>
          </cell>
          <cell r="AM75">
            <v>90028</v>
          </cell>
          <cell r="AN75">
            <v>116</v>
          </cell>
          <cell r="AO75">
            <v>0</v>
          </cell>
          <cell r="AP75">
            <v>6</v>
          </cell>
          <cell r="AQ75">
            <v>9</v>
          </cell>
          <cell r="AR75">
            <v>359</v>
          </cell>
          <cell r="AS75">
            <v>3590</v>
          </cell>
          <cell r="AT75">
            <v>6623.54</v>
          </cell>
          <cell r="AU75">
            <v>10931.54</v>
          </cell>
          <cell r="AV75">
            <v>14880.54</v>
          </cell>
          <cell r="AW75">
            <v>3</v>
          </cell>
          <cell r="AX75">
            <v>0</v>
          </cell>
          <cell r="AY75">
            <v>0</v>
          </cell>
          <cell r="AZ75">
            <v>0</v>
          </cell>
          <cell r="BA75">
            <v>0</v>
          </cell>
          <cell r="BB75">
            <v>1.82</v>
          </cell>
          <cell r="BC75">
            <v>32</v>
          </cell>
          <cell r="BD75">
            <v>0</v>
          </cell>
          <cell r="BE75">
            <v>32</v>
          </cell>
          <cell r="BF75">
            <v>0</v>
          </cell>
        </row>
        <row r="75">
          <cell r="BH75">
            <v>1</v>
          </cell>
          <cell r="BI75">
            <v>1</v>
          </cell>
        </row>
        <row r="75">
          <cell r="BZ75">
            <v>40.3</v>
          </cell>
          <cell r="CA75">
            <v>15</v>
          </cell>
          <cell r="CB75" t="str">
            <v>Low stock</v>
          </cell>
        </row>
        <row r="75">
          <cell r="CE75">
            <v>46181</v>
          </cell>
          <cell r="CF75" t="str">
            <v>Yes</v>
          </cell>
          <cell r="CG75" t="str">
            <v>No</v>
          </cell>
          <cell r="CH75">
            <v>37.9</v>
          </cell>
          <cell r="CI75">
            <v>40.3</v>
          </cell>
          <cell r="CJ75">
            <v>46182</v>
          </cell>
          <cell r="CK75">
            <v>34</v>
          </cell>
          <cell r="CL75">
            <v>2</v>
          </cell>
          <cell r="CM75">
            <v>0</v>
          </cell>
          <cell r="CN75">
            <v>1</v>
          </cell>
        </row>
        <row r="76">
          <cell r="A76" t="str">
            <v>X004VUH5JP</v>
          </cell>
          <cell r="B76" t="str">
            <v>CZ Amazon US</v>
          </cell>
          <cell r="C76" t="str">
            <v>USCZ Moose Lite Standard</v>
          </cell>
          <cell r="D76" t="str">
            <v>X004VUH5JP</v>
          </cell>
          <cell r="E76" t="str">
            <v>B0FX4BHC62</v>
          </cell>
          <cell r="F76" t="str">
            <v>Moose Lite 3D Scanner, NIR Light Technology 3D Scanners for 3D Printing, Ideal for Small-Size Object Scanning, Up to 0.05mm Accuracy, Monochrome Texture Capture</v>
          </cell>
          <cell r="G76" t="str">
            <v>New</v>
          </cell>
          <cell r="H76">
            <v>10</v>
          </cell>
          <cell r="I76">
            <v>0</v>
          </cell>
          <cell r="J76">
            <v>10</v>
          </cell>
          <cell r="K76">
            <v>0</v>
          </cell>
          <cell r="L76">
            <v>0</v>
          </cell>
          <cell r="M76">
            <v>0</v>
          </cell>
          <cell r="N76">
            <v>0</v>
          </cell>
          <cell r="O76">
            <v>0</v>
          </cell>
          <cell r="P76" t="str">
            <v>USD</v>
          </cell>
          <cell r="Q76">
            <v>1</v>
          </cell>
          <cell r="R76">
            <v>8</v>
          </cell>
          <cell r="S76">
            <v>12</v>
          </cell>
          <cell r="T76">
            <v>29</v>
          </cell>
          <cell r="U76" t="str">
            <v>Low traffic</v>
          </cell>
          <cell r="V76">
            <v>399</v>
          </cell>
          <cell r="W76">
            <v>0</v>
          </cell>
          <cell r="X76">
            <v>399</v>
          </cell>
          <cell r="Y76">
            <v>0</v>
          </cell>
          <cell r="Z76" t="str">
            <v>CreateShippingPlan</v>
          </cell>
        </row>
        <row r="76">
          <cell r="AB76">
            <v>0</v>
          </cell>
          <cell r="AC76">
            <v>0</v>
          </cell>
          <cell r="AD76">
            <v>0</v>
          </cell>
          <cell r="AE76">
            <v>0</v>
          </cell>
          <cell r="AF76">
            <v>2.61</v>
          </cell>
          <cell r="AG76">
            <v>0.073514</v>
          </cell>
          <cell r="AH76" t="str">
            <v>cubic feet</v>
          </cell>
          <cell r="AI76" t="str">
            <v>Standard</v>
          </cell>
          <cell r="AJ76">
            <v>0.73514</v>
          </cell>
          <cell r="AK76" t="str">
            <v>US</v>
          </cell>
          <cell r="AL76" t="str">
            <v>gl_biss</v>
          </cell>
          <cell r="AM76">
            <v>347579</v>
          </cell>
          <cell r="AN76">
            <v>28</v>
          </cell>
          <cell r="AO76">
            <v>0</v>
          </cell>
          <cell r="AP76">
            <v>5</v>
          </cell>
          <cell r="AQ76">
            <v>4</v>
          </cell>
          <cell r="AR76">
            <v>399</v>
          </cell>
          <cell r="AS76">
            <v>399</v>
          </cell>
          <cell r="AT76">
            <v>3192</v>
          </cell>
          <cell r="AU76">
            <v>4788</v>
          </cell>
          <cell r="AV76">
            <v>11571</v>
          </cell>
          <cell r="AW76">
            <v>2</v>
          </cell>
          <cell r="AX76">
            <v>8</v>
          </cell>
          <cell r="AY76">
            <v>0</v>
          </cell>
          <cell r="AZ76">
            <v>0</v>
          </cell>
          <cell r="BA76">
            <v>0</v>
          </cell>
          <cell r="BB76">
            <v>0.28</v>
          </cell>
          <cell r="BC76">
            <v>0</v>
          </cell>
          <cell r="BD76">
            <v>0</v>
          </cell>
          <cell r="BE76">
            <v>0</v>
          </cell>
          <cell r="BF76">
            <v>0</v>
          </cell>
        </row>
        <row r="76">
          <cell r="BH76">
            <v>0</v>
          </cell>
          <cell r="BI76">
            <v>0</v>
          </cell>
        </row>
        <row r="76">
          <cell r="BZ76">
            <v>53.5</v>
          </cell>
          <cell r="CA76">
            <v>19</v>
          </cell>
          <cell r="CB76" t="str">
            <v>Low stock</v>
          </cell>
          <cell r="CC76">
            <v>23</v>
          </cell>
          <cell r="CD76">
            <v>46191</v>
          </cell>
          <cell r="CE76">
            <v>46181</v>
          </cell>
          <cell r="CF76" t="str">
            <v>Yes</v>
          </cell>
          <cell r="CG76" t="str">
            <v>No</v>
          </cell>
          <cell r="CH76">
            <v>53.5</v>
          </cell>
          <cell r="CI76">
            <v>30.6</v>
          </cell>
          <cell r="CJ76">
            <v>46182</v>
          </cell>
          <cell r="CK76">
            <v>10</v>
          </cell>
          <cell r="CL76">
            <v>0</v>
          </cell>
          <cell r="CM76">
            <v>0</v>
          </cell>
          <cell r="CN76">
            <v>0</v>
          </cell>
        </row>
        <row r="77">
          <cell r="A77" t="str">
            <v>X004RY9ERL</v>
          </cell>
          <cell r="B77" t="str">
            <v>CZ Amazon US</v>
          </cell>
          <cell r="C77" t="str">
            <v>CZ-Turntable</v>
          </cell>
          <cell r="D77" t="str">
            <v>X004RY9ERL</v>
          </cell>
          <cell r="E77" t="str">
            <v>B0FJWN93VP</v>
          </cell>
          <cell r="F77" t="str">
            <v>Turntable for 3DMakerpro Moose/Moose Lite Seal/Seal Lite 3D Scanners</v>
          </cell>
          <cell r="G77" t="str">
            <v>New</v>
          </cell>
          <cell r="H77">
            <v>17</v>
          </cell>
          <cell r="I77">
            <v>0</v>
          </cell>
          <cell r="J77">
            <v>5</v>
          </cell>
          <cell r="K77">
            <v>13</v>
          </cell>
          <cell r="L77">
            <v>0</v>
          </cell>
          <cell r="M77">
            <v>0</v>
          </cell>
          <cell r="N77">
            <v>0</v>
          </cell>
          <cell r="O77">
            <v>0</v>
          </cell>
          <cell r="P77" t="str">
            <v>USD</v>
          </cell>
          <cell r="Q77">
            <v>5</v>
          </cell>
          <cell r="R77">
            <v>20</v>
          </cell>
          <cell r="S77">
            <v>35</v>
          </cell>
          <cell r="T77">
            <v>53</v>
          </cell>
          <cell r="U77" t="str">
            <v>Low traffic</v>
          </cell>
          <cell r="V77">
            <v>29</v>
          </cell>
          <cell r="W77">
            <v>0</v>
          </cell>
          <cell r="X77">
            <v>29</v>
          </cell>
          <cell r="Y77">
            <v>0</v>
          </cell>
          <cell r="Z77" t="str">
            <v>NoRestockExcessActionRequired</v>
          </cell>
        </row>
        <row r="77">
          <cell r="AB77">
            <v>0</v>
          </cell>
          <cell r="AC77">
            <v>0</v>
          </cell>
          <cell r="AD77">
            <v>0</v>
          </cell>
          <cell r="AE77">
            <v>0</v>
          </cell>
          <cell r="AF77">
            <v>1.17</v>
          </cell>
          <cell r="AG77">
            <v>0.175929</v>
          </cell>
          <cell r="AH77" t="str">
            <v>cubic feet</v>
          </cell>
          <cell r="AI77" t="str">
            <v>Standard</v>
          </cell>
          <cell r="AJ77">
            <v>2.990793</v>
          </cell>
          <cell r="AK77" t="str">
            <v>US</v>
          </cell>
          <cell r="AL77" t="str">
            <v>gl_biss</v>
          </cell>
          <cell r="AM77">
            <v>125537</v>
          </cell>
          <cell r="AN77">
            <v>197</v>
          </cell>
          <cell r="AO77">
            <v>0</v>
          </cell>
          <cell r="AP77">
            <v>22</v>
          </cell>
          <cell r="AQ77">
            <v>27</v>
          </cell>
          <cell r="AR77">
            <v>29</v>
          </cell>
          <cell r="AS77">
            <v>145</v>
          </cell>
          <cell r="AT77">
            <v>577.1</v>
          </cell>
          <cell r="AU77">
            <v>1004.85</v>
          </cell>
          <cell r="AV77">
            <v>1521.8</v>
          </cell>
          <cell r="AW77">
            <v>2</v>
          </cell>
          <cell r="AX77">
            <v>0</v>
          </cell>
          <cell r="AY77">
            <v>3</v>
          </cell>
          <cell r="AZ77">
            <v>0</v>
          </cell>
          <cell r="BA77">
            <v>0</v>
          </cell>
          <cell r="BB77">
            <v>1.47</v>
          </cell>
          <cell r="BC77">
            <v>96</v>
          </cell>
          <cell r="BD77">
            <v>0</v>
          </cell>
          <cell r="BE77">
            <v>96</v>
          </cell>
          <cell r="BF77">
            <v>0</v>
          </cell>
        </row>
        <row r="77">
          <cell r="BH77">
            <v>2</v>
          </cell>
          <cell r="BI77">
            <v>0</v>
          </cell>
        </row>
        <row r="77">
          <cell r="BZ77">
            <v>76.3</v>
          </cell>
          <cell r="CA77">
            <v>29</v>
          </cell>
          <cell r="CB77" t="str">
            <v>Low stock</v>
          </cell>
        </row>
        <row r="77">
          <cell r="CE77">
            <v>46181</v>
          </cell>
          <cell r="CF77" t="str">
            <v>Yes</v>
          </cell>
          <cell r="CG77" t="str">
            <v>No</v>
          </cell>
          <cell r="CH77">
            <v>62.4</v>
          </cell>
          <cell r="CI77">
            <v>76.3</v>
          </cell>
          <cell r="CJ77">
            <v>46182</v>
          </cell>
          <cell r="CK77">
            <v>113</v>
          </cell>
          <cell r="CL77">
            <v>0</v>
          </cell>
          <cell r="CM77">
            <v>2</v>
          </cell>
          <cell r="CN77">
            <v>0</v>
          </cell>
        </row>
        <row r="78">
          <cell r="A78" t="str">
            <v>X004S1JEX7</v>
          </cell>
          <cell r="B78" t="str">
            <v>CZ Amazon US</v>
          </cell>
          <cell r="C78" t="str">
            <v>CZ-Moose Luxury</v>
          </cell>
          <cell r="D78" t="str">
            <v>X004S1JEX7</v>
          </cell>
          <cell r="E78" t="str">
            <v>B0FK4LP8NH</v>
          </cell>
          <cell r="F78" t="str">
            <v>3DMakerpro 3D Scanner Moose, Medium-Format 3D Scanners for Printing, Blue Led Light Source, Up to 0.03mm Accuracy, 24-Bit Full-Color Scanning</v>
          </cell>
          <cell r="G78" t="str">
            <v>New</v>
          </cell>
          <cell r="H78">
            <v>7</v>
          </cell>
          <cell r="I78">
            <v>0</v>
          </cell>
          <cell r="J78">
            <v>7</v>
          </cell>
          <cell r="K78">
            <v>0</v>
          </cell>
          <cell r="L78">
            <v>0</v>
          </cell>
          <cell r="M78">
            <v>0</v>
          </cell>
          <cell r="N78">
            <v>0</v>
          </cell>
          <cell r="O78">
            <v>0</v>
          </cell>
          <cell r="P78" t="str">
            <v>USD</v>
          </cell>
          <cell r="Q78">
            <v>1</v>
          </cell>
          <cell r="R78">
            <v>7</v>
          </cell>
          <cell r="S78">
            <v>9</v>
          </cell>
          <cell r="T78">
            <v>9</v>
          </cell>
        </row>
        <row r="78">
          <cell r="V78">
            <v>998</v>
          </cell>
          <cell r="W78">
            <v>0</v>
          </cell>
          <cell r="X78">
            <v>998</v>
          </cell>
          <cell r="Y78">
            <v>0</v>
          </cell>
          <cell r="Z78" t="str">
            <v>NoRestockExcessActionRequired</v>
          </cell>
        </row>
        <row r="78">
          <cell r="AB78">
            <v>0</v>
          </cell>
          <cell r="AC78">
            <v>0</v>
          </cell>
          <cell r="AD78">
            <v>0</v>
          </cell>
          <cell r="AE78">
            <v>0</v>
          </cell>
          <cell r="AF78">
            <v>1.8</v>
          </cell>
          <cell r="AG78">
            <v>0.372413</v>
          </cell>
          <cell r="AH78" t="str">
            <v>cubic feet</v>
          </cell>
          <cell r="AI78" t="str">
            <v>Standard</v>
          </cell>
          <cell r="AJ78">
            <v>2.606891</v>
          </cell>
          <cell r="AK78" t="str">
            <v>US</v>
          </cell>
          <cell r="AL78" t="str">
            <v>gl_biss</v>
          </cell>
          <cell r="AM78">
            <v>129190</v>
          </cell>
          <cell r="AN78">
            <v>32</v>
          </cell>
          <cell r="AO78">
            <v>0</v>
          </cell>
          <cell r="AP78">
            <v>4</v>
          </cell>
          <cell r="AQ78">
            <v>10</v>
          </cell>
          <cell r="AR78">
            <v>998</v>
          </cell>
          <cell r="AS78">
            <v>998</v>
          </cell>
          <cell r="AT78">
            <v>6736.5</v>
          </cell>
          <cell r="AU78">
            <v>8732.5</v>
          </cell>
          <cell r="AV78">
            <v>8732.5</v>
          </cell>
          <cell r="AW78">
            <v>1</v>
          </cell>
          <cell r="AX78">
            <v>6</v>
          </cell>
          <cell r="AY78">
            <v>0</v>
          </cell>
          <cell r="AZ78">
            <v>0</v>
          </cell>
          <cell r="BA78">
            <v>0</v>
          </cell>
          <cell r="BB78">
            <v>1.57</v>
          </cell>
          <cell r="BC78">
            <v>0</v>
          </cell>
          <cell r="BD78">
            <v>0</v>
          </cell>
          <cell r="BE78">
            <v>0</v>
          </cell>
          <cell r="BF78">
            <v>0</v>
          </cell>
        </row>
        <row r="78">
          <cell r="BH78">
            <v>0</v>
          </cell>
          <cell r="BI78">
            <v>0</v>
          </cell>
        </row>
        <row r="78">
          <cell r="BZ78">
            <v>54.8</v>
          </cell>
          <cell r="CA78">
            <v>11</v>
          </cell>
          <cell r="CB78" t="str">
            <v>Low stock</v>
          </cell>
          <cell r="CC78">
            <v>11</v>
          </cell>
          <cell r="CD78">
            <v>46191</v>
          </cell>
          <cell r="CE78">
            <v>46181</v>
          </cell>
          <cell r="CF78" t="str">
            <v>Yes</v>
          </cell>
          <cell r="CG78" t="str">
            <v>No</v>
          </cell>
          <cell r="CH78">
            <v>41.9</v>
          </cell>
          <cell r="CI78">
            <v>54.8</v>
          </cell>
          <cell r="CJ78">
            <v>46182</v>
          </cell>
          <cell r="CK78">
            <v>7</v>
          </cell>
          <cell r="CL78">
            <v>0</v>
          </cell>
          <cell r="CM78">
            <v>0</v>
          </cell>
          <cell r="CN78">
            <v>0</v>
          </cell>
        </row>
        <row r="79">
          <cell r="A79" t="str">
            <v>X004S1S8KR</v>
          </cell>
          <cell r="B79" t="str">
            <v>CZ Amazon US</v>
          </cell>
          <cell r="C79" t="str">
            <v>CZ-Moose Lite Luxury</v>
          </cell>
          <cell r="D79" t="str">
            <v>X004S1S8KR</v>
          </cell>
          <cell r="E79" t="str">
            <v>B0FK4SHLSY</v>
          </cell>
          <cell r="F79" t="str">
            <v>3DMakerpro 3D Scanner Moose Lite, Medium-Format 3D Scanners for Printing, NIR Light Source, Up to 0.05mm Accuracy, Mono Texture Scanning</v>
          </cell>
          <cell r="G79" t="str">
            <v>New</v>
          </cell>
          <cell r="H79">
            <v>2</v>
          </cell>
          <cell r="I79">
            <v>0</v>
          </cell>
          <cell r="J79">
            <v>2</v>
          </cell>
          <cell r="K79">
            <v>0</v>
          </cell>
          <cell r="L79">
            <v>0</v>
          </cell>
          <cell r="M79">
            <v>0</v>
          </cell>
          <cell r="N79">
            <v>0</v>
          </cell>
          <cell r="O79">
            <v>0</v>
          </cell>
          <cell r="P79" t="str">
            <v>USD</v>
          </cell>
          <cell r="Q79">
            <v>1</v>
          </cell>
          <cell r="R79">
            <v>3</v>
          </cell>
          <cell r="S79">
            <v>3</v>
          </cell>
          <cell r="T79">
            <v>5</v>
          </cell>
        </row>
        <row r="79">
          <cell r="V79">
            <v>689</v>
          </cell>
          <cell r="W79">
            <v>0</v>
          </cell>
          <cell r="X79">
            <v>689</v>
          </cell>
          <cell r="Y79">
            <v>0</v>
          </cell>
          <cell r="Z79" t="str">
            <v>NoRestockExcessActionRequired</v>
          </cell>
        </row>
        <row r="79">
          <cell r="AB79">
            <v>0</v>
          </cell>
          <cell r="AC79">
            <v>0</v>
          </cell>
          <cell r="AD79">
            <v>0</v>
          </cell>
          <cell r="AE79">
            <v>5020.84</v>
          </cell>
          <cell r="AF79">
            <v>2.22</v>
          </cell>
          <cell r="AG79">
            <v>0.370391</v>
          </cell>
          <cell r="AH79" t="str">
            <v>cubic feet</v>
          </cell>
          <cell r="AI79" t="str">
            <v>Standard</v>
          </cell>
          <cell r="AJ79">
            <v>0.740782</v>
          </cell>
          <cell r="AK79" t="str">
            <v>US</v>
          </cell>
          <cell r="AL79" t="str">
            <v>gl_biss</v>
          </cell>
          <cell r="AM79">
            <v>116028</v>
          </cell>
          <cell r="AN79">
            <v>200</v>
          </cell>
          <cell r="AO79">
            <v>0</v>
          </cell>
          <cell r="AP79">
            <v>16</v>
          </cell>
          <cell r="AQ79">
            <v>31</v>
          </cell>
          <cell r="AR79">
            <v>689</v>
          </cell>
          <cell r="AS79">
            <v>689</v>
          </cell>
          <cell r="AT79">
            <v>2067</v>
          </cell>
          <cell r="AU79">
            <v>2067</v>
          </cell>
          <cell r="AV79">
            <v>3463</v>
          </cell>
          <cell r="AW79">
            <v>0</v>
          </cell>
          <cell r="AX79">
            <v>2</v>
          </cell>
          <cell r="AY79">
            <v>0</v>
          </cell>
          <cell r="AZ79">
            <v>0</v>
          </cell>
          <cell r="BA79">
            <v>0</v>
          </cell>
          <cell r="BB79">
            <v>3.18</v>
          </cell>
          <cell r="BC79">
            <v>10</v>
          </cell>
          <cell r="BD79">
            <v>0</v>
          </cell>
          <cell r="BE79">
            <v>10</v>
          </cell>
          <cell r="BF79">
            <v>0</v>
          </cell>
        </row>
        <row r="79">
          <cell r="BH79">
            <v>0</v>
          </cell>
          <cell r="BI79">
            <v>0</v>
          </cell>
        </row>
        <row r="79">
          <cell r="BZ79">
            <v>41.3</v>
          </cell>
          <cell r="CA79">
            <v>5</v>
          </cell>
          <cell r="CB79" t="str">
            <v>Low stock</v>
          </cell>
        </row>
        <row r="79">
          <cell r="CE79">
            <v>46181</v>
          </cell>
          <cell r="CF79" t="str">
            <v>Yes</v>
          </cell>
          <cell r="CG79" t="str">
            <v>No</v>
          </cell>
          <cell r="CH79">
            <v>41.3</v>
          </cell>
          <cell r="CI79">
            <v>39.7</v>
          </cell>
          <cell r="CJ79">
            <v>46182</v>
          </cell>
          <cell r="CK79">
            <v>12</v>
          </cell>
          <cell r="CL79">
            <v>0</v>
          </cell>
          <cell r="CM79">
            <v>0</v>
          </cell>
          <cell r="CN79">
            <v>0</v>
          </cell>
        </row>
        <row r="80">
          <cell r="A80" t="str">
            <v>X003WFVD11</v>
          </cell>
          <cell r="B80" t="str">
            <v>CZ Amazon US</v>
          </cell>
          <cell r="C80" t="str">
            <v>JMYD-Mole-Premium</v>
          </cell>
          <cell r="D80" t="str">
            <v>X003WFVD11</v>
          </cell>
          <cell r="E80" t="str">
            <v>B0C4YGN5LR</v>
          </cell>
          <cell r="F80" t="str">
            <v>Mole 3D Scanner,0.1MM Resolution,No Marker Scan with 0.05 MM Accuracy, Professional 3D Scanners with Multispectral Technology,Turntable Handheld Scan Mode and Black Objects Scanning</v>
          </cell>
          <cell r="G80" t="str">
            <v>New</v>
          </cell>
          <cell r="H80">
            <v>8</v>
          </cell>
          <cell r="I80">
            <v>0</v>
          </cell>
          <cell r="J80">
            <v>0</v>
          </cell>
          <cell r="K80">
            <v>1</v>
          </cell>
          <cell r="L80">
            <v>0</v>
          </cell>
          <cell r="M80">
            <v>0</v>
          </cell>
          <cell r="N80">
            <v>7</v>
          </cell>
          <cell r="O80">
            <v>0</v>
          </cell>
          <cell r="P80" t="str">
            <v>USD</v>
          </cell>
          <cell r="Q80">
            <v>1</v>
          </cell>
          <cell r="R80">
            <v>2</v>
          </cell>
          <cell r="S80">
            <v>3</v>
          </cell>
          <cell r="T80">
            <v>4</v>
          </cell>
          <cell r="U80" t="str">
            <v>Low traffic</v>
          </cell>
          <cell r="V80">
            <v>749</v>
          </cell>
          <cell r="W80">
            <v>0</v>
          </cell>
          <cell r="X80">
            <v>374</v>
          </cell>
          <cell r="Y80">
            <v>0</v>
          </cell>
          <cell r="Z80" t="str">
            <v>CreateShippingPlan</v>
          </cell>
        </row>
        <row r="80">
          <cell r="AB80">
            <v>0</v>
          </cell>
          <cell r="AC80">
            <v>0</v>
          </cell>
          <cell r="AD80">
            <v>0</v>
          </cell>
          <cell r="AE80">
            <v>1386.36</v>
          </cell>
          <cell r="AF80">
            <v>0.39</v>
          </cell>
          <cell r="AG80">
            <v>0.451862</v>
          </cell>
          <cell r="AH80" t="str">
            <v>cubic feet</v>
          </cell>
          <cell r="AI80" t="str">
            <v>Standard</v>
          </cell>
          <cell r="AJ80">
            <v>3.614896</v>
          </cell>
          <cell r="AK80" t="str">
            <v>US</v>
          </cell>
          <cell r="AL80" t="str">
            <v>gl_biss</v>
          </cell>
          <cell r="AM80">
            <v>516214</v>
          </cell>
          <cell r="AN80">
            <v>106</v>
          </cell>
          <cell r="AO80">
            <v>6</v>
          </cell>
          <cell r="AP80">
            <v>16</v>
          </cell>
          <cell r="AQ80">
            <v>26</v>
          </cell>
          <cell r="AR80">
            <v>374</v>
          </cell>
          <cell r="AS80">
            <v>375</v>
          </cell>
          <cell r="AT80">
            <v>749</v>
          </cell>
          <cell r="AU80">
            <v>1124</v>
          </cell>
          <cell r="AV80">
            <v>1499</v>
          </cell>
          <cell r="AW80">
            <v>0</v>
          </cell>
          <cell r="AX80">
            <v>0</v>
          </cell>
          <cell r="AY80">
            <v>0</v>
          </cell>
          <cell r="AZ80">
            <v>0</v>
          </cell>
          <cell r="BA80">
            <v>0</v>
          </cell>
          <cell r="BB80">
            <v>24.41</v>
          </cell>
          <cell r="BC80">
            <v>0</v>
          </cell>
          <cell r="BD80">
            <v>0</v>
          </cell>
          <cell r="BE80">
            <v>0</v>
          </cell>
          <cell r="BF80">
            <v>0</v>
          </cell>
        </row>
        <row r="80">
          <cell r="BH80">
            <v>0</v>
          </cell>
          <cell r="BI80">
            <v>0</v>
          </cell>
          <cell r="BJ80">
            <v>0</v>
          </cell>
          <cell r="BK80">
            <v>0</v>
          </cell>
          <cell r="BL80">
            <v>0</v>
          </cell>
          <cell r="BM80">
            <v>0</v>
          </cell>
          <cell r="BN80">
            <v>0</v>
          </cell>
          <cell r="BO80">
            <v>0</v>
          </cell>
          <cell r="BP80">
            <v>0</v>
          </cell>
          <cell r="BQ80">
            <v>0</v>
          </cell>
          <cell r="BR80">
            <v>0</v>
          </cell>
          <cell r="BS80">
            <v>0</v>
          </cell>
          <cell r="BT80">
            <v>0</v>
          </cell>
          <cell r="BU80">
            <v>0</v>
          </cell>
          <cell r="BV80">
            <v>7</v>
          </cell>
          <cell r="BW80">
            <v>21.83</v>
          </cell>
          <cell r="BX80">
            <v>0</v>
          </cell>
          <cell r="BY80">
            <v>0</v>
          </cell>
          <cell r="BZ80">
            <v>314.3</v>
          </cell>
          <cell r="CA80">
            <v>4</v>
          </cell>
          <cell r="CB80" t="str">
            <v>Excess</v>
          </cell>
        </row>
        <row r="80">
          <cell r="CE80">
            <v>46181</v>
          </cell>
          <cell r="CF80" t="str">
            <v>Yes</v>
          </cell>
          <cell r="CG80" t="str">
            <v>No</v>
          </cell>
          <cell r="CH80">
            <v>282</v>
          </cell>
          <cell r="CI80">
            <v>314.3</v>
          </cell>
          <cell r="CJ80">
            <v>46182</v>
          </cell>
          <cell r="CK80">
            <v>8</v>
          </cell>
          <cell r="CL80">
            <v>0</v>
          </cell>
          <cell r="CM80">
            <v>0</v>
          </cell>
          <cell r="CN80">
            <v>0</v>
          </cell>
        </row>
        <row r="81">
          <cell r="A81" t="str">
            <v>X004RYAIHL</v>
          </cell>
          <cell r="B81" t="str">
            <v>CZ Amazon US</v>
          </cell>
          <cell r="C81" t="str">
            <v>CZ-Seal</v>
          </cell>
          <cell r="D81" t="str">
            <v>X004RYAIHL</v>
          </cell>
          <cell r="E81" t="str">
            <v>B0FJXPNP6V</v>
          </cell>
          <cell r="F81" t="str">
            <v>3DMakerpro 3D Scanner Seal, Small-Format 3D Scanners for Printing, Blue Led Light Source, Up to 0.01mm Accuracy, 24-Bit Full-Color Scanning</v>
          </cell>
          <cell r="G81" t="str">
            <v>New</v>
          </cell>
          <cell r="H81">
            <v>21</v>
          </cell>
          <cell r="I81">
            <v>0</v>
          </cell>
          <cell r="J81">
            <v>21</v>
          </cell>
          <cell r="K81">
            <v>0</v>
          </cell>
          <cell r="L81">
            <v>0</v>
          </cell>
          <cell r="M81">
            <v>0</v>
          </cell>
          <cell r="N81">
            <v>0</v>
          </cell>
          <cell r="O81">
            <v>0</v>
          </cell>
          <cell r="P81" t="str">
            <v>USD</v>
          </cell>
          <cell r="Q81">
            <v>0</v>
          </cell>
          <cell r="R81">
            <v>9</v>
          </cell>
          <cell r="S81">
            <v>12</v>
          </cell>
          <cell r="T81">
            <v>12</v>
          </cell>
        </row>
        <row r="81">
          <cell r="V81">
            <v>699</v>
          </cell>
          <cell r="W81">
            <v>0</v>
          </cell>
          <cell r="X81">
            <v>699</v>
          </cell>
          <cell r="Y81">
            <v>0</v>
          </cell>
          <cell r="Z81" t="str">
            <v>NoRestockExcessActionRequired</v>
          </cell>
        </row>
        <row r="81">
          <cell r="AB81">
            <v>0</v>
          </cell>
          <cell r="AC81">
            <v>0</v>
          </cell>
          <cell r="AD81">
            <v>0</v>
          </cell>
          <cell r="AE81">
            <v>0</v>
          </cell>
          <cell r="AF81">
            <v>0.96</v>
          </cell>
          <cell r="AG81">
            <v>0.084583</v>
          </cell>
          <cell r="AH81" t="str">
            <v>cubic feet</v>
          </cell>
          <cell r="AI81" t="str">
            <v>Standard</v>
          </cell>
          <cell r="AJ81">
            <v>1.776243</v>
          </cell>
          <cell r="AK81" t="str">
            <v>US</v>
          </cell>
          <cell r="AL81" t="str">
            <v>gl_biss</v>
          </cell>
          <cell r="AM81">
            <v>90028</v>
          </cell>
          <cell r="AN81">
            <v>123</v>
          </cell>
          <cell r="AO81">
            <v>0</v>
          </cell>
          <cell r="AP81">
            <v>9</v>
          </cell>
          <cell r="AQ81">
            <v>22</v>
          </cell>
          <cell r="AR81">
            <v>699</v>
          </cell>
          <cell r="AS81">
            <v>0</v>
          </cell>
          <cell r="AT81">
            <v>4823.1</v>
          </cell>
          <cell r="AU81">
            <v>6710.1</v>
          </cell>
          <cell r="AV81">
            <v>6710.1</v>
          </cell>
          <cell r="AW81">
            <v>1</v>
          </cell>
          <cell r="AX81">
            <v>20</v>
          </cell>
          <cell r="AY81">
            <v>0</v>
          </cell>
          <cell r="AZ81">
            <v>0</v>
          </cell>
          <cell r="BA81">
            <v>0</v>
          </cell>
          <cell r="BB81">
            <v>1.13</v>
          </cell>
          <cell r="BC81">
            <v>0</v>
          </cell>
          <cell r="BD81">
            <v>0</v>
          </cell>
          <cell r="BE81">
            <v>0</v>
          </cell>
          <cell r="BF81">
            <v>0</v>
          </cell>
        </row>
        <row r="81">
          <cell r="BH81">
            <v>0</v>
          </cell>
          <cell r="BI81">
            <v>1</v>
          </cell>
        </row>
        <row r="81">
          <cell r="BZ81">
            <v>118</v>
          </cell>
          <cell r="CA81">
            <v>13</v>
          </cell>
          <cell r="CB81" t="str">
            <v>Healthy</v>
          </cell>
          <cell r="CC81">
            <v>1</v>
          </cell>
          <cell r="CD81">
            <v>46191</v>
          </cell>
          <cell r="CE81">
            <v>46181</v>
          </cell>
          <cell r="CF81" t="str">
            <v>Yes</v>
          </cell>
          <cell r="CG81" t="str">
            <v>No</v>
          </cell>
          <cell r="CH81">
            <v>83.9</v>
          </cell>
          <cell r="CI81">
            <v>118</v>
          </cell>
          <cell r="CJ81">
            <v>46182</v>
          </cell>
          <cell r="CK81">
            <v>21</v>
          </cell>
          <cell r="CL81">
            <v>0</v>
          </cell>
          <cell r="CM81">
            <v>0</v>
          </cell>
          <cell r="CN81">
            <v>0</v>
          </cell>
        </row>
        <row r="82">
          <cell r="A82" t="str">
            <v>X004YCFSQ7</v>
          </cell>
          <cell r="B82" t="str">
            <v>CZ Amazon US</v>
          </cell>
          <cell r="C82" t="str">
            <v>CZ-Seal Lite Premuim</v>
          </cell>
          <cell r="D82" t="str">
            <v>X004YCFSQ7</v>
          </cell>
          <cell r="E82" t="str">
            <v>B0GBT6FS8Y</v>
          </cell>
          <cell r="F82" t="str">
            <v>3DMakerpro 3D Scanner Seal Lite, Small-Format 3D Scanners for Printing, Blue Led Light Source, Up to 0.02mm Accuracy, Mono Texture Scanning (Premium Version)</v>
          </cell>
          <cell r="G82" t="str">
            <v>New</v>
          </cell>
          <cell r="H82">
            <v>1</v>
          </cell>
          <cell r="I82">
            <v>0</v>
          </cell>
          <cell r="J82">
            <v>1</v>
          </cell>
          <cell r="K82">
            <v>0</v>
          </cell>
          <cell r="L82">
            <v>0</v>
          </cell>
          <cell r="M82">
            <v>0</v>
          </cell>
          <cell r="N82">
            <v>0</v>
          </cell>
          <cell r="O82">
            <v>0</v>
          </cell>
          <cell r="P82" t="str">
            <v>USD</v>
          </cell>
          <cell r="Q82">
            <v>1</v>
          </cell>
          <cell r="R82">
            <v>6</v>
          </cell>
          <cell r="S82">
            <v>21</v>
          </cell>
          <cell r="T82">
            <v>30</v>
          </cell>
          <cell r="U82" t="str">
            <v>Low traffic</v>
          </cell>
          <cell r="V82">
            <v>419</v>
          </cell>
          <cell r="W82">
            <v>0</v>
          </cell>
          <cell r="X82">
            <v>419</v>
          </cell>
          <cell r="Y82">
            <v>0</v>
          </cell>
          <cell r="Z82" t="str">
            <v>NoRestockExcessActionRequired</v>
          </cell>
        </row>
        <row r="82">
          <cell r="AB82">
            <v>0</v>
          </cell>
          <cell r="AC82">
            <v>0</v>
          </cell>
          <cell r="AD82">
            <v>0</v>
          </cell>
          <cell r="AE82">
            <v>0</v>
          </cell>
          <cell r="AF82">
            <v>4.13</v>
          </cell>
          <cell r="AG82">
            <v>0.248191</v>
          </cell>
          <cell r="AH82" t="str">
            <v>cubic feet</v>
          </cell>
          <cell r="AI82" t="str">
            <v>Standard</v>
          </cell>
          <cell r="AJ82">
            <v>0.248191</v>
          </cell>
          <cell r="AK82" t="str">
            <v>US</v>
          </cell>
          <cell r="AL82" t="str">
            <v>gl_biss</v>
          </cell>
          <cell r="AM82">
            <v>316013</v>
          </cell>
          <cell r="AN82">
            <v>78</v>
          </cell>
          <cell r="AO82">
            <v>0</v>
          </cell>
          <cell r="AP82">
            <v>16</v>
          </cell>
          <cell r="AQ82">
            <v>10</v>
          </cell>
          <cell r="AR82">
            <v>419</v>
          </cell>
          <cell r="AS82">
            <v>419</v>
          </cell>
          <cell r="AT82">
            <v>2328.6</v>
          </cell>
          <cell r="AU82">
            <v>8613.6</v>
          </cell>
          <cell r="AV82">
            <v>12384.6</v>
          </cell>
          <cell r="AW82">
            <v>0</v>
          </cell>
          <cell r="AX82">
            <v>1</v>
          </cell>
          <cell r="AY82">
            <v>0</v>
          </cell>
          <cell r="AZ82">
            <v>0</v>
          </cell>
          <cell r="BA82">
            <v>0</v>
          </cell>
          <cell r="BB82">
            <v>0.04</v>
          </cell>
          <cell r="BC82">
            <v>24</v>
          </cell>
          <cell r="BD82">
            <v>0</v>
          </cell>
          <cell r="BE82">
            <v>24</v>
          </cell>
          <cell r="BF82">
            <v>0</v>
          </cell>
        </row>
        <row r="82">
          <cell r="BH82">
            <v>0</v>
          </cell>
          <cell r="BI82">
            <v>2</v>
          </cell>
        </row>
        <row r="82">
          <cell r="BZ82">
            <v>20.8</v>
          </cell>
          <cell r="CA82">
            <v>13</v>
          </cell>
          <cell r="CB82" t="str">
            <v>Low stock</v>
          </cell>
        </row>
        <row r="82">
          <cell r="CE82">
            <v>46181</v>
          </cell>
          <cell r="CF82" t="str">
            <v>Yes</v>
          </cell>
          <cell r="CG82" t="str">
            <v>No</v>
          </cell>
          <cell r="CH82">
            <v>13</v>
          </cell>
          <cell r="CI82">
            <v>20.8</v>
          </cell>
          <cell r="CJ82">
            <v>46182</v>
          </cell>
          <cell r="CK82">
            <v>25</v>
          </cell>
          <cell r="CL82">
            <v>0</v>
          </cell>
          <cell r="CM82">
            <v>0</v>
          </cell>
          <cell r="CN82">
            <v>0</v>
          </cell>
        </row>
        <row r="83">
          <cell r="A83" t="str">
            <v>X004S1L8XV</v>
          </cell>
          <cell r="B83" t="str">
            <v>CZ Amazon US</v>
          </cell>
          <cell r="C83" t="str">
            <v>CZ-Moose Lite Premium</v>
          </cell>
          <cell r="D83" t="str">
            <v>X004S1L8XV</v>
          </cell>
          <cell r="E83" t="str">
            <v>B0FK4TQSVR</v>
          </cell>
          <cell r="F83" t="str">
            <v>3DMakerpro 3D Scanner Moose Lite, Medium-Format 3D Scanners for Printing, NIR Light Source, Up to 0.05mm Accuracy, Mono Texture Scanning</v>
          </cell>
          <cell r="G83" t="str">
            <v>New</v>
          </cell>
          <cell r="H83">
            <v>29</v>
          </cell>
          <cell r="I83">
            <v>0</v>
          </cell>
          <cell r="J83">
            <v>29</v>
          </cell>
          <cell r="K83">
            <v>0</v>
          </cell>
          <cell r="L83">
            <v>0</v>
          </cell>
          <cell r="M83">
            <v>0</v>
          </cell>
          <cell r="N83">
            <v>0</v>
          </cell>
          <cell r="O83">
            <v>0</v>
          </cell>
          <cell r="P83" t="str">
            <v>USD</v>
          </cell>
          <cell r="Q83">
            <v>2</v>
          </cell>
          <cell r="R83">
            <v>17</v>
          </cell>
          <cell r="S83">
            <v>19</v>
          </cell>
          <cell r="T83">
            <v>23</v>
          </cell>
        </row>
        <row r="83">
          <cell r="V83">
            <v>459</v>
          </cell>
          <cell r="W83">
            <v>0</v>
          </cell>
          <cell r="X83">
            <v>459</v>
          </cell>
          <cell r="Y83">
            <v>0</v>
          </cell>
          <cell r="Z83" t="str">
            <v>NoRestockExcessActionRequired</v>
          </cell>
        </row>
        <row r="83">
          <cell r="AB83">
            <v>0</v>
          </cell>
          <cell r="AC83">
            <v>0</v>
          </cell>
          <cell r="AD83">
            <v>0</v>
          </cell>
          <cell r="AE83">
            <v>0</v>
          </cell>
          <cell r="AF83">
            <v>1.08</v>
          </cell>
          <cell r="AG83">
            <v>0.239286</v>
          </cell>
          <cell r="AH83" t="str">
            <v>cubic feet</v>
          </cell>
          <cell r="AI83" t="str">
            <v>Standard</v>
          </cell>
          <cell r="AJ83">
            <v>6.939294</v>
          </cell>
          <cell r="AK83" t="str">
            <v>US</v>
          </cell>
          <cell r="AL83" t="str">
            <v>gl_biss</v>
          </cell>
          <cell r="AM83">
            <v>116028</v>
          </cell>
          <cell r="AN83">
            <v>106</v>
          </cell>
          <cell r="AO83">
            <v>0</v>
          </cell>
          <cell r="AP83">
            <v>11</v>
          </cell>
          <cell r="AQ83">
            <v>26</v>
          </cell>
          <cell r="AR83">
            <v>459</v>
          </cell>
          <cell r="AS83">
            <v>918</v>
          </cell>
          <cell r="AT83">
            <v>7803</v>
          </cell>
          <cell r="AU83">
            <v>8721</v>
          </cell>
          <cell r="AV83">
            <v>10557</v>
          </cell>
          <cell r="AW83">
            <v>1</v>
          </cell>
          <cell r="AX83">
            <v>28</v>
          </cell>
          <cell r="AY83">
            <v>0</v>
          </cell>
          <cell r="AZ83">
            <v>0</v>
          </cell>
          <cell r="BA83">
            <v>0</v>
          </cell>
          <cell r="BB83">
            <v>4.62</v>
          </cell>
          <cell r="BC83">
            <v>18</v>
          </cell>
          <cell r="BD83">
            <v>0</v>
          </cell>
          <cell r="BE83">
            <v>18</v>
          </cell>
          <cell r="BF83">
            <v>0</v>
          </cell>
        </row>
        <row r="83">
          <cell r="BH83">
            <v>0</v>
          </cell>
          <cell r="BI83">
            <v>1</v>
          </cell>
        </row>
        <row r="83">
          <cell r="BZ83">
            <v>88.2</v>
          </cell>
          <cell r="CA83">
            <v>20</v>
          </cell>
          <cell r="CB83" t="str">
            <v>Healthy</v>
          </cell>
        </row>
        <row r="83">
          <cell r="CE83">
            <v>46181</v>
          </cell>
          <cell r="CF83" t="str">
            <v>Yes</v>
          </cell>
          <cell r="CG83" t="str">
            <v>No</v>
          </cell>
          <cell r="CH83">
            <v>60.4</v>
          </cell>
          <cell r="CI83">
            <v>88.2</v>
          </cell>
          <cell r="CJ83">
            <v>46182</v>
          </cell>
          <cell r="CK83">
            <v>47</v>
          </cell>
          <cell r="CL83">
            <v>0</v>
          </cell>
          <cell r="CM83">
            <v>0</v>
          </cell>
          <cell r="CN83">
            <v>0</v>
          </cell>
        </row>
        <row r="84">
          <cell r="A84" t="str">
            <v>X004S0IAOR</v>
          </cell>
          <cell r="B84" t="str">
            <v>CZ Amazon US</v>
          </cell>
          <cell r="C84" t="str">
            <v>CZ-Moose Premium</v>
          </cell>
          <cell r="D84" t="str">
            <v>X004S0IAOR</v>
          </cell>
          <cell r="E84" t="str">
            <v>B0FK4PLNMF</v>
          </cell>
          <cell r="F84" t="str">
            <v>3DMakerpro 3D Scanner Moose, Medium-Format 3D Scanners for Printing, Blue Led Light Source, Up to 0.03mm Accuracy, 24-Bit Full-Color Scanning</v>
          </cell>
          <cell r="G84" t="str">
            <v>New</v>
          </cell>
          <cell r="H84">
            <v>22</v>
          </cell>
          <cell r="I84">
            <v>0</v>
          </cell>
          <cell r="J84">
            <v>22</v>
          </cell>
          <cell r="K84">
            <v>0</v>
          </cell>
          <cell r="L84">
            <v>0</v>
          </cell>
          <cell r="M84">
            <v>0</v>
          </cell>
          <cell r="N84">
            <v>0</v>
          </cell>
          <cell r="O84">
            <v>0</v>
          </cell>
          <cell r="P84" t="str">
            <v>USD</v>
          </cell>
          <cell r="Q84">
            <v>2</v>
          </cell>
          <cell r="R84">
            <v>9</v>
          </cell>
          <cell r="S84">
            <v>16</v>
          </cell>
          <cell r="T84">
            <v>21</v>
          </cell>
        </row>
        <row r="84">
          <cell r="V84">
            <v>759</v>
          </cell>
          <cell r="W84">
            <v>0</v>
          </cell>
          <cell r="X84">
            <v>759</v>
          </cell>
          <cell r="Y84">
            <v>572.58</v>
          </cell>
          <cell r="Z84" t="str">
            <v>NoRestockExcessActionRequired</v>
          </cell>
        </row>
        <row r="84">
          <cell r="AB84">
            <v>0</v>
          </cell>
          <cell r="AC84">
            <v>0</v>
          </cell>
          <cell r="AD84">
            <v>0</v>
          </cell>
          <cell r="AE84">
            <v>0</v>
          </cell>
          <cell r="AF84">
            <v>1.29</v>
          </cell>
          <cell r="AG84">
            <v>0.24642</v>
          </cell>
          <cell r="AH84" t="str">
            <v>cubic feet</v>
          </cell>
          <cell r="AI84" t="str">
            <v>Standard</v>
          </cell>
          <cell r="AJ84">
            <v>5.42124</v>
          </cell>
          <cell r="AK84" t="str">
            <v>US</v>
          </cell>
          <cell r="AL84" t="str">
            <v>gl_biss</v>
          </cell>
          <cell r="AM84">
            <v>129190</v>
          </cell>
          <cell r="AN84">
            <v>57</v>
          </cell>
          <cell r="AO84">
            <v>0</v>
          </cell>
          <cell r="AP84">
            <v>9</v>
          </cell>
          <cell r="AQ84">
            <v>13</v>
          </cell>
          <cell r="AR84">
            <v>759</v>
          </cell>
          <cell r="AS84">
            <v>1518</v>
          </cell>
          <cell r="AT84">
            <v>6831</v>
          </cell>
          <cell r="AU84">
            <v>12144</v>
          </cell>
          <cell r="AV84">
            <v>15939</v>
          </cell>
          <cell r="AW84">
            <v>0</v>
          </cell>
          <cell r="AX84">
            <v>22</v>
          </cell>
          <cell r="AY84">
            <v>0</v>
          </cell>
          <cell r="AZ84">
            <v>0</v>
          </cell>
          <cell r="BA84">
            <v>0</v>
          </cell>
          <cell r="BB84">
            <v>3.54</v>
          </cell>
          <cell r="BC84">
            <v>0</v>
          </cell>
          <cell r="BD84">
            <v>0</v>
          </cell>
          <cell r="BE84">
            <v>0</v>
          </cell>
          <cell r="BF84">
            <v>0</v>
          </cell>
        </row>
        <row r="84">
          <cell r="BH84">
            <v>0</v>
          </cell>
          <cell r="BI84">
            <v>0</v>
          </cell>
        </row>
        <row r="84">
          <cell r="BZ84">
            <v>75</v>
          </cell>
          <cell r="CA84">
            <v>13</v>
          </cell>
          <cell r="CB84" t="str">
            <v>Healthy</v>
          </cell>
        </row>
        <row r="84">
          <cell r="CE84">
            <v>46181</v>
          </cell>
          <cell r="CF84" t="str">
            <v>Yes</v>
          </cell>
          <cell r="CG84" t="str">
            <v>No</v>
          </cell>
          <cell r="CH84">
            <v>75</v>
          </cell>
          <cell r="CI84">
            <v>73.4</v>
          </cell>
          <cell r="CJ84">
            <v>46182</v>
          </cell>
          <cell r="CK84">
            <v>22</v>
          </cell>
          <cell r="CL84">
            <v>0</v>
          </cell>
          <cell r="CM84">
            <v>0</v>
          </cell>
          <cell r="CN84">
            <v>0</v>
          </cell>
        </row>
        <row r="85">
          <cell r="A85" t="str">
            <v>X004S162YL</v>
          </cell>
          <cell r="B85" t="str">
            <v>CZ Amazon US</v>
          </cell>
          <cell r="C85" t="str">
            <v>CZ-Moose Standard</v>
          </cell>
          <cell r="D85" t="str">
            <v>X004S162YL</v>
          </cell>
          <cell r="E85" t="str">
            <v>B0FK4NN2NS</v>
          </cell>
          <cell r="F85" t="str">
            <v>3DMakerpro 3D Scanner Moose, Medium-Format 3D Scanners for Printing, Blue Led Light Source, Up to 0.03mm Accuracy, 24-Bit Full-Color Scanning</v>
          </cell>
          <cell r="G85" t="str">
            <v>New</v>
          </cell>
          <cell r="H85">
            <v>7</v>
          </cell>
          <cell r="I85">
            <v>0</v>
          </cell>
          <cell r="J85">
            <v>8</v>
          </cell>
          <cell r="K85">
            <v>0</v>
          </cell>
          <cell r="L85">
            <v>0</v>
          </cell>
          <cell r="M85">
            <v>0</v>
          </cell>
          <cell r="N85">
            <v>0</v>
          </cell>
          <cell r="O85">
            <v>0</v>
          </cell>
          <cell r="P85" t="str">
            <v>USD</v>
          </cell>
          <cell r="Q85">
            <v>0</v>
          </cell>
          <cell r="R85">
            <v>7</v>
          </cell>
          <cell r="S85">
            <v>8</v>
          </cell>
          <cell r="T85">
            <v>8</v>
          </cell>
        </row>
        <row r="85">
          <cell r="V85">
            <v>699</v>
          </cell>
          <cell r="W85">
            <v>0</v>
          </cell>
          <cell r="X85">
            <v>699</v>
          </cell>
          <cell r="Y85">
            <v>0</v>
          </cell>
          <cell r="Z85" t="str">
            <v>CreateShippingPlan</v>
          </cell>
        </row>
        <row r="85">
          <cell r="AB85">
            <v>0</v>
          </cell>
          <cell r="AC85">
            <v>0</v>
          </cell>
          <cell r="AD85">
            <v>0</v>
          </cell>
          <cell r="AE85">
            <v>3206.92</v>
          </cell>
          <cell r="AF85">
            <v>1.19</v>
          </cell>
          <cell r="AG85">
            <v>0.073514</v>
          </cell>
          <cell r="AH85" t="str">
            <v>cubic feet</v>
          </cell>
          <cell r="AI85" t="str">
            <v>Standard</v>
          </cell>
          <cell r="AJ85">
            <v>0.514598</v>
          </cell>
          <cell r="AK85" t="str">
            <v>US</v>
          </cell>
          <cell r="AL85" t="str">
            <v>gl_biss</v>
          </cell>
          <cell r="AM85">
            <v>129190</v>
          </cell>
          <cell r="AN85">
            <v>32</v>
          </cell>
          <cell r="AO85">
            <v>0</v>
          </cell>
          <cell r="AP85">
            <v>4</v>
          </cell>
          <cell r="AQ85">
            <v>11</v>
          </cell>
          <cell r="AR85">
            <v>699</v>
          </cell>
          <cell r="AS85">
            <v>0</v>
          </cell>
          <cell r="AT85">
            <v>4893</v>
          </cell>
          <cell r="AU85">
            <v>5592</v>
          </cell>
          <cell r="AV85">
            <v>5592</v>
          </cell>
          <cell r="AW85">
            <v>1</v>
          </cell>
          <cell r="AX85">
            <v>7</v>
          </cell>
          <cell r="AY85">
            <v>0</v>
          </cell>
          <cell r="AZ85">
            <v>0</v>
          </cell>
          <cell r="BA85">
            <v>0</v>
          </cell>
          <cell r="BB85">
            <v>0.37</v>
          </cell>
          <cell r="BC85">
            <v>0</v>
          </cell>
          <cell r="BD85">
            <v>0</v>
          </cell>
          <cell r="BE85">
            <v>0</v>
          </cell>
          <cell r="BF85">
            <v>0</v>
          </cell>
        </row>
        <row r="85">
          <cell r="BH85">
            <v>0</v>
          </cell>
          <cell r="BI85">
            <v>0</v>
          </cell>
        </row>
        <row r="85">
          <cell r="BZ85">
            <v>82.8</v>
          </cell>
          <cell r="CA85">
            <v>10</v>
          </cell>
          <cell r="CB85" t="str">
            <v>Low stock</v>
          </cell>
          <cell r="CC85">
            <v>9</v>
          </cell>
          <cell r="CD85">
            <v>46191</v>
          </cell>
          <cell r="CE85">
            <v>46181</v>
          </cell>
          <cell r="CF85" t="str">
            <v>Yes</v>
          </cell>
          <cell r="CG85" t="str">
            <v>No</v>
          </cell>
          <cell r="CH85">
            <v>47.1</v>
          </cell>
          <cell r="CI85">
            <v>82.8</v>
          </cell>
          <cell r="CJ85">
            <v>46182</v>
          </cell>
          <cell r="CK85">
            <v>7</v>
          </cell>
          <cell r="CL85">
            <v>0</v>
          </cell>
          <cell r="CM85">
            <v>0</v>
          </cell>
          <cell r="CN85">
            <v>0</v>
          </cell>
        </row>
        <row r="86">
          <cell r="A86" t="str">
            <v>X004S1BWNH</v>
          </cell>
          <cell r="B86" t="str">
            <v>CZ Amazon US</v>
          </cell>
          <cell r="C86" t="str">
            <v>CZ-Eagle Standard</v>
          </cell>
          <cell r="D86" t="str">
            <v>X004S1BWNH</v>
          </cell>
          <cell r="E86" t="str">
            <v>B0FK4J3SPN</v>
          </cell>
          <cell r="F86" t="str">
            <v>3DMakerpro Eagle LiDAR 3D Scanner, Professional 8K Spatial Scanner for Film Production, Game Development, Virtual Reality, 3D Modeling, All-in-one Workflow, 140m Range (Standard Version)</v>
          </cell>
          <cell r="G86" t="str">
            <v>New</v>
          </cell>
          <cell r="H86">
            <v>0</v>
          </cell>
          <cell r="I86">
            <v>0</v>
          </cell>
          <cell r="J86">
            <v>4</v>
          </cell>
          <cell r="K86">
            <v>0</v>
          </cell>
          <cell r="L86">
            <v>0</v>
          </cell>
          <cell r="M86">
            <v>0</v>
          </cell>
          <cell r="N86">
            <v>0</v>
          </cell>
          <cell r="O86">
            <v>0</v>
          </cell>
          <cell r="P86" t="str">
            <v>USD</v>
          </cell>
          <cell r="Q86">
            <v>0</v>
          </cell>
          <cell r="R86">
            <v>0</v>
          </cell>
          <cell r="S86">
            <v>4</v>
          </cell>
          <cell r="T86">
            <v>4</v>
          </cell>
          <cell r="U86" t="str">
            <v>Low traffic</v>
          </cell>
          <cell r="V86">
            <v>3998</v>
          </cell>
          <cell r="W86">
            <v>0</v>
          </cell>
          <cell r="X86">
            <v>3998</v>
          </cell>
          <cell r="Y86">
            <v>0</v>
          </cell>
          <cell r="Z86" t="str">
            <v>CreateShippingPlan</v>
          </cell>
        </row>
        <row r="86">
          <cell r="AB86">
            <v>0</v>
          </cell>
          <cell r="AC86">
            <v>0</v>
          </cell>
          <cell r="AD86">
            <v>0</v>
          </cell>
          <cell r="AE86">
            <v>4478.82</v>
          </cell>
          <cell r="AF86">
            <v>1.33</v>
          </cell>
          <cell r="AG86">
            <v>0.710035</v>
          </cell>
          <cell r="AH86" t="str">
            <v>cubic feet</v>
          </cell>
          <cell r="AI86" t="str">
            <v>Oversize</v>
          </cell>
          <cell r="AJ86">
            <v>0</v>
          </cell>
          <cell r="AK86" t="str">
            <v>US</v>
          </cell>
          <cell r="AL86" t="str">
            <v>gl_biss</v>
          </cell>
          <cell r="AM86">
            <v>501538</v>
          </cell>
          <cell r="AN86">
            <v>25</v>
          </cell>
          <cell r="AO86">
            <v>0</v>
          </cell>
        </row>
        <row r="86">
          <cell r="AQ86">
            <v>0</v>
          </cell>
          <cell r="AR86">
            <v>3998</v>
          </cell>
          <cell r="AS86">
            <v>0</v>
          </cell>
          <cell r="AT86">
            <v>0</v>
          </cell>
          <cell r="AU86">
            <v>14792</v>
          </cell>
          <cell r="AV86">
            <v>14792</v>
          </cell>
          <cell r="AW86">
            <v>4</v>
          </cell>
          <cell r="AX86">
            <v>0</v>
          </cell>
          <cell r="AY86">
            <v>0</v>
          </cell>
          <cell r="AZ86">
            <v>0</v>
          </cell>
          <cell r="BA86">
            <v>0</v>
          </cell>
          <cell r="BB86">
            <v>0.73</v>
          </cell>
          <cell r="BC86">
            <v>0</v>
          </cell>
          <cell r="BD86">
            <v>0</v>
          </cell>
          <cell r="BE86">
            <v>0</v>
          </cell>
          <cell r="BF86">
            <v>0</v>
          </cell>
        </row>
        <row r="86">
          <cell r="BH86">
            <v>2</v>
          </cell>
          <cell r="BI86">
            <v>0</v>
          </cell>
        </row>
        <row r="86">
          <cell r="CA86">
            <v>5</v>
          </cell>
          <cell r="CB86" t="str">
            <v>Low stock</v>
          </cell>
          <cell r="CC86">
            <v>4</v>
          </cell>
          <cell r="CD86">
            <v>46190</v>
          </cell>
        </row>
        <row r="86">
          <cell r="CI86">
            <v>54.5</v>
          </cell>
          <cell r="CJ86">
            <v>46182</v>
          </cell>
          <cell r="CK86">
            <v>2</v>
          </cell>
          <cell r="CL86">
            <v>2</v>
          </cell>
          <cell r="CM86">
            <v>0</v>
          </cell>
          <cell r="CN86">
            <v>2</v>
          </cell>
        </row>
        <row r="87">
          <cell r="A87" t="str">
            <v>X004YCIX4V</v>
          </cell>
          <cell r="B87" t="str">
            <v>CZ Amazon US</v>
          </cell>
          <cell r="C87" t="str">
            <v>CZ-Seal Premuim</v>
          </cell>
          <cell r="D87" t="str">
            <v>X004YCIX4V</v>
          </cell>
          <cell r="E87" t="str">
            <v>B0GBTDNRC3</v>
          </cell>
          <cell r="F87" t="str">
            <v>3DMakerpro 3D Scanner Seal, Small-Format 3D Scanners for Printing, Blue Led Light Source, Up to 0.01mm Accuracy, 24-Bit Full-Color Scanning (Premium Version)</v>
          </cell>
          <cell r="G87" t="str">
            <v>New</v>
          </cell>
          <cell r="H87">
            <v>1</v>
          </cell>
          <cell r="I87">
            <v>0</v>
          </cell>
          <cell r="J87">
            <v>1</v>
          </cell>
          <cell r="K87">
            <v>0</v>
          </cell>
          <cell r="L87">
            <v>0</v>
          </cell>
          <cell r="M87">
            <v>0</v>
          </cell>
          <cell r="N87">
            <v>0</v>
          </cell>
          <cell r="O87">
            <v>0</v>
          </cell>
          <cell r="P87" t="str">
            <v>USD</v>
          </cell>
          <cell r="Q87">
            <v>0</v>
          </cell>
          <cell r="R87">
            <v>5</v>
          </cell>
          <cell r="S87">
            <v>13</v>
          </cell>
          <cell r="T87">
            <v>19</v>
          </cell>
          <cell r="U87" t="str">
            <v>Low traffic</v>
          </cell>
          <cell r="V87">
            <v>759</v>
          </cell>
          <cell r="W87">
            <v>0</v>
          </cell>
          <cell r="X87">
            <v>759</v>
          </cell>
          <cell r="Y87">
            <v>0</v>
          </cell>
          <cell r="Z87" t="str">
            <v>NoRestockExcessActionRequired</v>
          </cell>
        </row>
        <row r="87">
          <cell r="AB87">
            <v>0</v>
          </cell>
          <cell r="AC87">
            <v>0</v>
          </cell>
          <cell r="AD87">
            <v>0</v>
          </cell>
          <cell r="AE87">
            <v>0</v>
          </cell>
          <cell r="AF87">
            <v>2.05</v>
          </cell>
          <cell r="AG87">
            <v>0.248191</v>
          </cell>
          <cell r="AH87" t="str">
            <v>cubic feet</v>
          </cell>
          <cell r="AI87" t="str">
            <v>Standard</v>
          </cell>
          <cell r="AJ87">
            <v>0.248191</v>
          </cell>
          <cell r="AK87" t="str">
            <v>US</v>
          </cell>
          <cell r="AL87" t="str">
            <v>gl_biss</v>
          </cell>
          <cell r="AM87">
            <v>371266</v>
          </cell>
          <cell r="AN87">
            <v>91</v>
          </cell>
          <cell r="AO87">
            <v>0</v>
          </cell>
          <cell r="AP87">
            <v>15</v>
          </cell>
          <cell r="AQ87">
            <v>13</v>
          </cell>
          <cell r="AR87">
            <v>759</v>
          </cell>
          <cell r="AS87">
            <v>0</v>
          </cell>
          <cell r="AT87">
            <v>3795</v>
          </cell>
          <cell r="AU87">
            <v>9639.3</v>
          </cell>
          <cell r="AV87">
            <v>14193.3</v>
          </cell>
          <cell r="AW87">
            <v>1</v>
          </cell>
          <cell r="AX87">
            <v>0</v>
          </cell>
          <cell r="AY87">
            <v>0</v>
          </cell>
          <cell r="AZ87">
            <v>0</v>
          </cell>
          <cell r="BA87">
            <v>0</v>
          </cell>
          <cell r="BB87">
            <v>3.01</v>
          </cell>
          <cell r="BC87">
            <v>18</v>
          </cell>
          <cell r="BD87">
            <v>0</v>
          </cell>
          <cell r="BE87">
            <v>18</v>
          </cell>
          <cell r="BF87">
            <v>0</v>
          </cell>
        </row>
        <row r="87">
          <cell r="BH87">
            <v>0</v>
          </cell>
          <cell r="BI87">
            <v>0</v>
          </cell>
        </row>
        <row r="87">
          <cell r="BZ87">
            <v>44.3</v>
          </cell>
          <cell r="CA87">
            <v>9</v>
          </cell>
          <cell r="CB87" t="str">
            <v>Low stock</v>
          </cell>
        </row>
        <row r="87">
          <cell r="CE87">
            <v>46181</v>
          </cell>
          <cell r="CF87" t="str">
            <v>Yes</v>
          </cell>
          <cell r="CG87" t="str">
            <v>No</v>
          </cell>
          <cell r="CH87">
            <v>19.1</v>
          </cell>
          <cell r="CI87">
            <v>44.3</v>
          </cell>
          <cell r="CJ87">
            <v>46182</v>
          </cell>
          <cell r="CK87">
            <v>19</v>
          </cell>
          <cell r="CL87">
            <v>0</v>
          </cell>
          <cell r="CM87">
            <v>0</v>
          </cell>
          <cell r="CN87">
            <v>0</v>
          </cell>
        </row>
        <row r="88">
          <cell r="A88" t="str">
            <v>X003WFH757</v>
          </cell>
          <cell r="B88" t="str">
            <v>CZ Amazon US</v>
          </cell>
          <cell r="C88" t="str">
            <v>JMYD-Mole-Luxury</v>
          </cell>
          <cell r="D88" t="str">
            <v>X003WFH757</v>
          </cell>
          <cell r="E88" t="str">
            <v>B0C4Y8MV3P</v>
          </cell>
          <cell r="F88" t="str">
            <v>Mole 3D Scanner, 0.1mm Resolution, 0.05mm High Accuracy with 10fps Scan Speed, Supporting Handheld Turntable Dual Modes Color Scanning, Compatible with Win10/MasOS (Luxury Version)</v>
          </cell>
          <cell r="G88" t="str">
            <v>New</v>
          </cell>
          <cell r="H88">
            <v>6</v>
          </cell>
          <cell r="I88">
            <v>0</v>
          </cell>
          <cell r="J88">
            <v>0</v>
          </cell>
          <cell r="K88">
            <v>1</v>
          </cell>
          <cell r="L88">
            <v>5</v>
          </cell>
          <cell r="M88">
            <v>0</v>
          </cell>
          <cell r="N88">
            <v>0</v>
          </cell>
          <cell r="O88">
            <v>0</v>
          </cell>
          <cell r="P88" t="str">
            <v>USD</v>
          </cell>
          <cell r="Q88">
            <v>0</v>
          </cell>
          <cell r="R88">
            <v>0</v>
          </cell>
          <cell r="S88">
            <v>0</v>
          </cell>
          <cell r="T88">
            <v>0</v>
          </cell>
          <cell r="U88" t="str">
            <v>Low traffic</v>
          </cell>
          <cell r="V88">
            <v>849</v>
          </cell>
          <cell r="W88">
            <v>0</v>
          </cell>
          <cell r="X88">
            <v>424</v>
          </cell>
          <cell r="Y88">
            <v>0</v>
          </cell>
          <cell r="Z88" t="str">
            <v>Lower price</v>
          </cell>
        </row>
        <row r="88">
          <cell r="AB88">
            <v>0</v>
          </cell>
          <cell r="AC88">
            <v>0</v>
          </cell>
          <cell r="AD88">
            <v>0</v>
          </cell>
          <cell r="AE88">
            <v>4557.02</v>
          </cell>
          <cell r="AF88">
            <v>0</v>
          </cell>
          <cell r="AG88">
            <v>0.747786</v>
          </cell>
          <cell r="AH88" t="str">
            <v>cubic feet</v>
          </cell>
          <cell r="AI88" t="str">
            <v>Standard</v>
          </cell>
          <cell r="AJ88">
            <v>4.486716</v>
          </cell>
          <cell r="AK88" t="str">
            <v>US</v>
          </cell>
          <cell r="AL88" t="str">
            <v>gl_biss</v>
          </cell>
          <cell r="AM88">
            <v>655793</v>
          </cell>
          <cell r="AN88">
            <v>138</v>
          </cell>
          <cell r="AO88">
            <v>6</v>
          </cell>
        </row>
        <row r="88">
          <cell r="AR88">
            <v>424</v>
          </cell>
          <cell r="AS88">
            <v>0</v>
          </cell>
          <cell r="AT88">
            <v>0</v>
          </cell>
          <cell r="AU88">
            <v>0</v>
          </cell>
          <cell r="AV88">
            <v>0</v>
          </cell>
          <cell r="AW88">
            <v>0</v>
          </cell>
          <cell r="AX88">
            <v>0</v>
          </cell>
          <cell r="AY88">
            <v>0</v>
          </cell>
          <cell r="AZ88">
            <v>5</v>
          </cell>
          <cell r="BA88">
            <v>0</v>
          </cell>
          <cell r="BB88">
            <v>6.95</v>
          </cell>
          <cell r="BC88">
            <v>0</v>
          </cell>
          <cell r="BD88">
            <v>0</v>
          </cell>
          <cell r="BE88">
            <v>0</v>
          </cell>
          <cell r="BF88">
            <v>0</v>
          </cell>
        </row>
        <row r="88">
          <cell r="BH88">
            <v>0</v>
          </cell>
          <cell r="BI88">
            <v>0</v>
          </cell>
          <cell r="BJ88">
            <v>0</v>
          </cell>
          <cell r="BK88">
            <v>0</v>
          </cell>
          <cell r="BL88">
            <v>5</v>
          </cell>
          <cell r="BM88">
            <v>3.75</v>
          </cell>
          <cell r="BN88">
            <v>0</v>
          </cell>
          <cell r="BO88">
            <v>0</v>
          </cell>
          <cell r="BP88">
            <v>0</v>
          </cell>
          <cell r="BQ88">
            <v>0</v>
          </cell>
          <cell r="BR88">
            <v>0</v>
          </cell>
          <cell r="BS88">
            <v>0</v>
          </cell>
          <cell r="BT88">
            <v>0</v>
          </cell>
          <cell r="BU88">
            <v>0</v>
          </cell>
          <cell r="BV88">
            <v>0</v>
          </cell>
          <cell r="BW88">
            <v>0</v>
          </cell>
          <cell r="BX88">
            <v>0</v>
          </cell>
          <cell r="BY88">
            <v>0</v>
          </cell>
        </row>
        <row r="88">
          <cell r="CA88">
            <v>3</v>
          </cell>
          <cell r="CB88" t="str">
            <v>Excess</v>
          </cell>
        </row>
        <row r="88">
          <cell r="CJ88">
            <v>46182</v>
          </cell>
          <cell r="CK88">
            <v>6</v>
          </cell>
          <cell r="CL88">
            <v>0</v>
          </cell>
          <cell r="CM88">
            <v>0</v>
          </cell>
          <cell r="CN88">
            <v>0</v>
          </cell>
        </row>
        <row r="89">
          <cell r="A89" t="str">
            <v>FNSKU</v>
          </cell>
          <cell r="B89" t="str">
            <v>快照日期</v>
          </cell>
          <cell r="C89" t="str">
            <v>sku</v>
          </cell>
          <cell r="D89" t="str">
            <v>FNSKU</v>
          </cell>
          <cell r="E89" t="str">
            <v>asin</v>
          </cell>
          <cell r="F89" t="str">
            <v>商品名称</v>
          </cell>
          <cell r="G89" t="str">
            <v>condition</v>
          </cell>
          <cell r="H89" t="str">
            <v>available</v>
          </cell>
          <cell r="I89" t="str">
            <v>正在移除的库存数量</v>
          </cell>
          <cell r="J89" t="str">
            <v>库龄 0-90 天</v>
          </cell>
          <cell r="K89" t="str">
            <v>库龄 91-180 天</v>
          </cell>
          <cell r="L89" t="str">
            <v>库龄 181-270 天</v>
          </cell>
          <cell r="M89" t="str">
            <v>库龄 271-365 天</v>
          </cell>
          <cell r="N89" t="str">
            <v>库龄 365 天以上</v>
          </cell>
          <cell r="O89" t="str">
            <v>currency</v>
          </cell>
          <cell r="P89" t="str">
            <v>配送商品数量（过去 7 天）</v>
          </cell>
          <cell r="Q89" t="str">
            <v>配送商品数量（过去 30 天）</v>
          </cell>
          <cell r="R89" t="str">
            <v>配送商品数量（过去 60 天）</v>
          </cell>
          <cell r="S89" t="str">
            <v>配送商品数量（过去 90 天）</v>
          </cell>
          <cell r="T89" t="str">
            <v>alert</v>
          </cell>
          <cell r="U89" t="str">
            <v>您的价格</v>
          </cell>
          <cell r="V89" t="str">
            <v>促销价格</v>
          </cell>
          <cell r="W89" t="str">
            <v>新品最低价格</v>
          </cell>
          <cell r="X89" t="str">
            <v>二手商品最低价格</v>
          </cell>
          <cell r="Y89" t="str">
            <v>建议操作</v>
          </cell>
          <cell r="Z89" t="str">
            <v>DEPRECATED healthy-inventory-level</v>
          </cell>
          <cell r="AA89" t="str">
            <v>建议促销价格</v>
          </cell>
          <cell r="AB89" t="str">
            <v>建议促销持续时间</v>
          </cell>
          <cell r="AC89" t="str">
            <v>建议移除数量</v>
          </cell>
          <cell r="AD89" t="str">
            <v>采取建议操作预计节省成本</v>
          </cell>
          <cell r="AE89" t="str">
            <v>售出率</v>
          </cell>
          <cell r="AF89" t="str">
            <v>商品体积</v>
          </cell>
          <cell r="AG89" t="str">
            <v>体积单位</v>
          </cell>
          <cell r="AH89" t="str">
            <v>仓储类型</v>
          </cell>
          <cell r="AI89" t="str">
            <v>仓储容量</v>
          </cell>
          <cell r="AJ89" t="str">
            <v>store</v>
          </cell>
          <cell r="AK89" t="str">
            <v>商品类别</v>
          </cell>
          <cell r="AL89" t="str">
            <v>销售排名</v>
          </cell>
          <cell r="AM89" t="str">
            <v>供货天数</v>
          </cell>
          <cell r="AN89" t="str">
            <v>预计冗余数量</v>
          </cell>
          <cell r="AO89" t="str">
            <v>可维持周数-过去 30 天</v>
          </cell>
          <cell r="AP89" t="str">
            <v>可维持周数-过去 90 天</v>
          </cell>
          <cell r="AQ89" t="str">
            <v>推荐报价的价格</v>
          </cell>
          <cell r="AR89" t="str">
            <v>过去 7 天内配送的售出商品</v>
          </cell>
          <cell r="AS89" t="str">
            <v>过去 30 天内配送的售出商品</v>
          </cell>
          <cell r="AT89" t="str">
            <v>过去 60 天内配送的售出商品</v>
          </cell>
          <cell r="AU89" t="str">
            <v>过去 90 天内配送的售出商品</v>
          </cell>
          <cell r="AV89" t="str">
            <v>库龄 0-30 天</v>
          </cell>
          <cell r="AW89" t="str">
            <v>库龄 31-60 天</v>
          </cell>
          <cell r="AX89" t="str">
            <v>库龄 61-90 天</v>
          </cell>
          <cell r="AY89" t="str">
            <v>库龄 181-330 天</v>
          </cell>
          <cell r="AZ89" t="str">
            <v>库龄 331-365 天</v>
          </cell>
          <cell r="BA89" t="str">
            <v>未来 30 天预计仓储成本</v>
          </cell>
          <cell r="BB89" t="str">
            <v>入库数量</v>
          </cell>
          <cell r="BC89" t="str">
            <v>入库-处理中</v>
          </cell>
          <cell r="BD89" t="str">
            <v>入库-已发出</v>
          </cell>
          <cell r="BE89" t="str">
            <v>入库-已接收</v>
          </cell>
          <cell r="BF89" t="str">
            <v>预留总数量</v>
          </cell>
          <cell r="BG89" t="str">
            <v>不可售数量</v>
          </cell>
          <cell r="BH89" t="str">
            <v>quantity-to-be-charged-ais-271-300-days</v>
          </cell>
          <cell r="BI89" t="str">
            <v>estimated-ais-271-300-days</v>
          </cell>
          <cell r="BJ89" t="str">
            <v>quantity-to-be-charged-ais-301-330-days</v>
          </cell>
          <cell r="BK89" t="str">
            <v>estimated-ais-301-330-days</v>
          </cell>
          <cell r="BL89" t="str">
            <v>quantity-to-be-charged-ais-331-365-days</v>
          </cell>
          <cell r="BM89" t="str">
            <v>estimated-ais-331-365-days</v>
          </cell>
          <cell r="BN89" t="str">
            <v>quantity-to-be-charged-ais-365-plus-days</v>
          </cell>
          <cell r="BO89" t="str">
            <v>estimated-ais-365-plus-days</v>
          </cell>
          <cell r="BP89" t="str">
            <v>historical-days-of-supply</v>
          </cell>
          <cell r="BQ89" t="str">
            <v>建议发货数量</v>
          </cell>
          <cell r="BR89" t="str">
            <v>建议发货日期</v>
          </cell>
          <cell r="BS89" t="str">
            <v>历史供货天数的最新更新日期</v>
          </cell>
          <cell r="BT89" t="str">
            <v>低库存水平费豁免？</v>
          </cell>
          <cell r="BU89" t="str">
            <v>当前周收取的低库存水平费？</v>
          </cell>
          <cell r="BV89" t="str">
            <v>短期历史供货天数</v>
          </cell>
          <cell r="BW89" t="str">
            <v>长期历史供货天数</v>
          </cell>
          <cell r="BX89" t="str">
            <v>库龄快照日期</v>
          </cell>
          <cell r="BY89" t="str">
            <v>亚马逊物流库存供应</v>
          </cell>
          <cell r="BZ89" t="str">
            <v>Reserved FC Transfer</v>
          </cell>
          <cell r="CA89" t="str">
            <v>Reserved FC Processing</v>
          </cell>
          <cell r="CB89" t="str">
            <v>Reserved Customer Order</v>
          </cell>
          <cell r="CC89" t="str">
            <v>Reserved Staging</v>
          </cell>
          <cell r="CD89" t="str">
            <v>总供货天数（包括未完成货件中的商品）</v>
          </cell>
          <cell r="CE89" t="str">
            <v>供应商</v>
          </cell>
          <cell r="CF89" t="str">
            <v>is-seasonal-in-next-3-months</v>
          </cell>
          <cell r="CG89" t="str">
            <v>season-name</v>
          </cell>
          <cell r="CH89" t="str">
            <v>season-start-date</v>
          </cell>
          <cell r="CI89" t="str">
            <v>season-end-date</v>
          </cell>
        </row>
        <row r="90">
          <cell r="A90" t="str">
            <v>X001CA0467</v>
          </cell>
          <cell r="B90" t="str">
            <v>CZ Amazon JP</v>
          </cell>
          <cell r="C90" t="str">
            <v>G6-7R3N-6CS3</v>
          </cell>
          <cell r="D90" t="str">
            <v>X001CA0467</v>
          </cell>
          <cell r="E90" t="str">
            <v>B0G7GP8Q73</v>
          </cell>
          <cell r="F90" t="str">
            <v>3Dmakerpro seal moose シリーズ 三脚</v>
          </cell>
          <cell r="G90" t="str">
            <v>New</v>
          </cell>
          <cell r="H90">
            <v>20</v>
          </cell>
          <cell r="I90">
            <v>0</v>
          </cell>
          <cell r="J90">
            <v>0</v>
          </cell>
          <cell r="K90">
            <v>20</v>
          </cell>
          <cell r="L90">
            <v>0</v>
          </cell>
          <cell r="M90">
            <v>0</v>
          </cell>
          <cell r="N90">
            <v>0</v>
          </cell>
          <cell r="O90" t="str">
            <v>JPY</v>
          </cell>
        </row>
        <row r="90">
          <cell r="T90" t="str">
            <v>Low traffic</v>
          </cell>
          <cell r="U90">
            <v>5998</v>
          </cell>
          <cell r="V90">
            <v>0</v>
          </cell>
          <cell r="W90">
            <v>5998</v>
          </cell>
          <cell r="X90">
            <v>0</v>
          </cell>
          <cell r="Y90" t="str">
            <v>推广商品</v>
          </cell>
          <cell r="Z90">
            <v>0</v>
          </cell>
          <cell r="AA90">
            <v>0</v>
          </cell>
          <cell r="AB90">
            <v>0</v>
          </cell>
          <cell r="AC90">
            <v>0</v>
          </cell>
          <cell r="AD90">
            <v>15388</v>
          </cell>
          <cell r="AE90">
            <v>0</v>
          </cell>
          <cell r="AF90" t="str">
            <v>5.12E-4</v>
          </cell>
          <cell r="AG90" t="str">
            <v>cubic meter</v>
          </cell>
          <cell r="AH90" t="str">
            <v>Standard</v>
          </cell>
          <cell r="AI90">
            <v>0.01024</v>
          </cell>
          <cell r="AJ90" t="str">
            <v>JP</v>
          </cell>
          <cell r="AK90" t="str">
            <v>gl_home_improvement</v>
          </cell>
        </row>
        <row r="90">
          <cell r="AN90">
            <v>20</v>
          </cell>
        </row>
        <row r="90">
          <cell r="AQ90">
            <v>5998</v>
          </cell>
        </row>
        <row r="90">
          <cell r="AV90">
            <v>0</v>
          </cell>
          <cell r="AW90">
            <v>0</v>
          </cell>
          <cell r="AX90">
            <v>0</v>
          </cell>
          <cell r="AY90">
            <v>0</v>
          </cell>
          <cell r="AZ90">
            <v>0</v>
          </cell>
          <cell r="BA90">
            <v>48.54</v>
          </cell>
          <cell r="BB90">
            <v>0</v>
          </cell>
          <cell r="BC90">
            <v>0</v>
          </cell>
          <cell r="BD90">
            <v>0</v>
          </cell>
          <cell r="BE90">
            <v>0</v>
          </cell>
          <cell r="BF90">
            <v>0</v>
          </cell>
          <cell r="BG90">
            <v>0</v>
          </cell>
        </row>
        <row r="90">
          <cell r="BQ90">
            <v>0</v>
          </cell>
        </row>
        <row r="90">
          <cell r="BX90">
            <v>46183</v>
          </cell>
          <cell r="BY90">
            <v>20</v>
          </cell>
          <cell r="BZ90">
            <v>0</v>
          </cell>
          <cell r="CA90">
            <v>0</v>
          </cell>
          <cell r="CB90">
            <v>0</v>
          </cell>
          <cell r="CC90">
            <v>0</v>
          </cell>
        </row>
        <row r="90">
          <cell r="CE90" t="str">
            <v>--</v>
          </cell>
          <cell r="CF90" t="str">
            <v>N</v>
          </cell>
        </row>
        <row r="91">
          <cell r="A91" t="str">
            <v>X001C5V3RL</v>
          </cell>
          <cell r="B91" t="str">
            <v>CZ Amazon JP</v>
          </cell>
          <cell r="C91" t="str">
            <v>BK-XJ7Q-867M</v>
          </cell>
          <cell r="D91" t="str">
            <v>X001C5V3RL</v>
          </cell>
          <cell r="E91" t="str">
            <v>B0G4R74HBT</v>
          </cell>
          <cell r="F91" t="str">
            <v>3D MakerPro AESUB blue 用 特殊素材処理スプレー</v>
          </cell>
          <cell r="G91" t="str">
            <v>New</v>
          </cell>
          <cell r="H91">
            <v>42</v>
          </cell>
          <cell r="I91">
            <v>0</v>
          </cell>
          <cell r="J91">
            <v>0</v>
          </cell>
          <cell r="K91">
            <v>44</v>
          </cell>
          <cell r="L91">
            <v>0</v>
          </cell>
          <cell r="M91">
            <v>0</v>
          </cell>
          <cell r="N91">
            <v>0</v>
          </cell>
          <cell r="O91" t="str">
            <v>JPY</v>
          </cell>
          <cell r="P91">
            <v>0</v>
          </cell>
          <cell r="Q91">
            <v>2</v>
          </cell>
          <cell r="R91">
            <v>2</v>
          </cell>
          <cell r="S91">
            <v>2</v>
          </cell>
          <cell r="T91" t="str">
            <v>Low traffic</v>
          </cell>
          <cell r="U91">
            <v>6169</v>
          </cell>
          <cell r="V91">
            <v>0</v>
          </cell>
          <cell r="W91">
            <v>6169</v>
          </cell>
          <cell r="X91">
            <v>0</v>
          </cell>
          <cell r="Y91" t="str">
            <v>推广商品</v>
          </cell>
          <cell r="Z91">
            <v>0</v>
          </cell>
          <cell r="AA91">
            <v>0</v>
          </cell>
          <cell r="AB91">
            <v>0</v>
          </cell>
          <cell r="AC91">
            <v>0</v>
          </cell>
          <cell r="AD91">
            <v>163929.24</v>
          </cell>
          <cell r="AE91">
            <v>0.04</v>
          </cell>
          <cell r="AF91" t="str">
            <v>7.28E-4</v>
          </cell>
          <cell r="AG91" t="str">
            <v>cubic meter</v>
          </cell>
          <cell r="AH91" t="str">
            <v>Standard</v>
          </cell>
          <cell r="AI91">
            <v>0.03059</v>
          </cell>
          <cell r="AJ91" t="str">
            <v>JP</v>
          </cell>
          <cell r="AK91" t="str">
            <v>gl_home_improvement</v>
          </cell>
          <cell r="AL91">
            <v>147940</v>
          </cell>
          <cell r="AM91">
            <v>366</v>
          </cell>
          <cell r="AN91">
            <v>42</v>
          </cell>
          <cell r="AO91">
            <v>84</v>
          </cell>
          <cell r="AP91">
            <v>273</v>
          </cell>
          <cell r="AQ91">
            <v>6169</v>
          </cell>
          <cell r="AR91">
            <v>0</v>
          </cell>
          <cell r="AS91">
            <v>11216</v>
          </cell>
          <cell r="AT91">
            <v>11216</v>
          </cell>
          <cell r="AU91">
            <v>11216</v>
          </cell>
          <cell r="AV91">
            <v>0</v>
          </cell>
          <cell r="AW91">
            <v>0</v>
          </cell>
          <cell r="AX91">
            <v>0</v>
          </cell>
          <cell r="AY91">
            <v>0</v>
          </cell>
          <cell r="AZ91">
            <v>0</v>
          </cell>
          <cell r="BA91">
            <v>145.01</v>
          </cell>
          <cell r="BB91">
            <v>0</v>
          </cell>
          <cell r="BC91">
            <v>0</v>
          </cell>
          <cell r="BD91">
            <v>0</v>
          </cell>
          <cell r="BE91">
            <v>0</v>
          </cell>
          <cell r="BF91">
            <v>1</v>
          </cell>
          <cell r="BG91">
            <v>0</v>
          </cell>
        </row>
        <row r="91">
          <cell r="BP91">
            <v>2057</v>
          </cell>
          <cell r="BQ91">
            <v>0</v>
          </cell>
        </row>
        <row r="91">
          <cell r="BS91">
            <v>46181</v>
          </cell>
          <cell r="BT91" t="str">
            <v>是</v>
          </cell>
          <cell r="BU91" t="str">
            <v>否</v>
          </cell>
          <cell r="BV91">
            <v>677</v>
          </cell>
          <cell r="BW91">
            <v>2057</v>
          </cell>
          <cell r="BX91">
            <v>46183</v>
          </cell>
          <cell r="BY91">
            <v>42</v>
          </cell>
          <cell r="BZ91">
            <v>0</v>
          </cell>
          <cell r="CA91">
            <v>0</v>
          </cell>
          <cell r="CB91">
            <v>0</v>
          </cell>
          <cell r="CC91">
            <v>1</v>
          </cell>
          <cell r="CD91">
            <v>366</v>
          </cell>
          <cell r="CE91" t="str">
            <v>--</v>
          </cell>
          <cell r="CF91" t="str">
            <v>N</v>
          </cell>
        </row>
        <row r="92">
          <cell r="A92" t="str">
            <v>X001BR2L17</v>
          </cell>
          <cell r="B92" t="str">
            <v>CZ Amazon JP</v>
          </cell>
          <cell r="C92" t="str">
            <v>HY-9SW8-WACP</v>
          </cell>
          <cell r="D92" t="str">
            <v>X001BR2L17</v>
          </cell>
          <cell r="E92" t="str">
            <v>B0FVSQHGYZ</v>
          </cell>
          <cell r="F92" t="str">
            <v>3DMakerpro 3Dスキャナー「Moose」（スタンダードモデル） 0.03mm高精度・24ビットカラーカメラ搭載のハンディヘルド3Dスキャナー、手ぶれ補正レンズ内蔵、Windows/MacOS対応 （標準版）</v>
          </cell>
          <cell r="G92" t="str">
            <v>New</v>
          </cell>
          <cell r="H92">
            <v>20</v>
          </cell>
          <cell r="I92">
            <v>0</v>
          </cell>
          <cell r="J92">
            <v>0</v>
          </cell>
          <cell r="K92">
            <v>20</v>
          </cell>
          <cell r="L92">
            <v>0</v>
          </cell>
          <cell r="M92">
            <v>0</v>
          </cell>
          <cell r="N92">
            <v>0</v>
          </cell>
          <cell r="O92" t="str">
            <v>JPY</v>
          </cell>
        </row>
        <row r="92">
          <cell r="T92" t="str">
            <v>Low traffic</v>
          </cell>
          <cell r="U92">
            <v>119180</v>
          </cell>
          <cell r="V92">
            <v>0</v>
          </cell>
          <cell r="W92">
            <v>119180</v>
          </cell>
          <cell r="X92">
            <v>0</v>
          </cell>
          <cell r="Y92" t="str">
            <v>推广商品</v>
          </cell>
          <cell r="Z92">
            <v>0</v>
          </cell>
          <cell r="AA92">
            <v>0</v>
          </cell>
          <cell r="AB92">
            <v>0</v>
          </cell>
          <cell r="AC92">
            <v>0</v>
          </cell>
          <cell r="AD92">
            <v>126858.25</v>
          </cell>
          <cell r="AE92">
            <v>0</v>
          </cell>
          <cell r="AF92" t="str">
            <v>5.12E-4</v>
          </cell>
          <cell r="AG92" t="str">
            <v>cubic meter</v>
          </cell>
          <cell r="AH92" t="str">
            <v>Standard</v>
          </cell>
          <cell r="AI92">
            <v>0.01024</v>
          </cell>
          <cell r="AJ92" t="str">
            <v>JP</v>
          </cell>
          <cell r="AK92" t="str">
            <v>gl_home_improvement</v>
          </cell>
        </row>
        <row r="92">
          <cell r="AN92">
            <v>20</v>
          </cell>
        </row>
        <row r="92">
          <cell r="AQ92">
            <v>119180</v>
          </cell>
        </row>
        <row r="92">
          <cell r="AV92">
            <v>0</v>
          </cell>
          <cell r="AW92">
            <v>0</v>
          </cell>
          <cell r="AX92">
            <v>0</v>
          </cell>
          <cell r="AY92">
            <v>0</v>
          </cell>
          <cell r="AZ92">
            <v>0</v>
          </cell>
          <cell r="BA92">
            <v>48.54</v>
          </cell>
          <cell r="BB92">
            <v>0</v>
          </cell>
          <cell r="BC92">
            <v>0</v>
          </cell>
          <cell r="BD92">
            <v>0</v>
          </cell>
          <cell r="BE92">
            <v>0</v>
          </cell>
          <cell r="BF92">
            <v>0</v>
          </cell>
          <cell r="BG92">
            <v>0</v>
          </cell>
        </row>
        <row r="92">
          <cell r="BQ92">
            <v>0</v>
          </cell>
        </row>
        <row r="92">
          <cell r="BX92">
            <v>46183</v>
          </cell>
          <cell r="BY92">
            <v>20</v>
          </cell>
          <cell r="BZ92">
            <v>0</v>
          </cell>
          <cell r="CA92">
            <v>0</v>
          </cell>
          <cell r="CB92">
            <v>0</v>
          </cell>
          <cell r="CC92">
            <v>0</v>
          </cell>
        </row>
        <row r="92">
          <cell r="CE92" t="str">
            <v>--</v>
          </cell>
          <cell r="CF92" t="str">
            <v>N</v>
          </cell>
        </row>
        <row r="93">
          <cell r="A93" t="str">
            <v>X001BKZJVD</v>
          </cell>
          <cell r="B93" t="str">
            <v>CZ Amazon JP</v>
          </cell>
          <cell r="C93" t="str">
            <v>VG-MYBX-9J6S</v>
          </cell>
          <cell r="D93" t="str">
            <v>X001BKZJVD</v>
          </cell>
          <cell r="E93" t="str">
            <v>B0FRRSXY6Z</v>
          </cell>
          <cell r="F93" t="str">
            <v>3DMakerpro Seal lite 3Dスキャナー 3Dプリンター（スタンダード版）精度0.02mm 対応10Fpsスキャン速度・手ぶれ補正機能搭載Android/iOS/Win10/macOS対応 3Dモデルスキャナー</v>
          </cell>
          <cell r="G93" t="str">
            <v>New</v>
          </cell>
          <cell r="H93">
            <v>3</v>
          </cell>
          <cell r="I93">
            <v>0</v>
          </cell>
          <cell r="J93">
            <v>0</v>
          </cell>
          <cell r="K93">
            <v>0</v>
          </cell>
          <cell r="L93">
            <v>3</v>
          </cell>
          <cell r="M93">
            <v>0</v>
          </cell>
          <cell r="N93">
            <v>0</v>
          </cell>
          <cell r="O93" t="str">
            <v>JPY</v>
          </cell>
          <cell r="P93">
            <v>1</v>
          </cell>
          <cell r="Q93">
            <v>1</v>
          </cell>
          <cell r="R93">
            <v>3</v>
          </cell>
          <cell r="S93">
            <v>4</v>
          </cell>
          <cell r="T93" t="str">
            <v>Low traffic</v>
          </cell>
          <cell r="U93">
            <v>61900</v>
          </cell>
          <cell r="V93">
            <v>0</v>
          </cell>
          <cell r="W93">
            <v>61900</v>
          </cell>
          <cell r="X93">
            <v>0</v>
          </cell>
          <cell r="Y93" t="str">
            <v>GoToRestock</v>
          </cell>
          <cell r="Z93">
            <v>3</v>
          </cell>
          <cell r="AA93">
            <v>0</v>
          </cell>
          <cell r="AB93">
            <v>0</v>
          </cell>
          <cell r="AC93">
            <v>0</v>
          </cell>
          <cell r="AD93">
            <v>0</v>
          </cell>
          <cell r="AE93">
            <v>0.73</v>
          </cell>
          <cell r="AF93">
            <v>0.002366</v>
          </cell>
          <cell r="AG93" t="str">
            <v>cubic meter</v>
          </cell>
          <cell r="AH93" t="str">
            <v>Standard</v>
          </cell>
          <cell r="AI93">
            <v>0.007097</v>
          </cell>
          <cell r="AJ93" t="str">
            <v>JP</v>
          </cell>
          <cell r="AK93" t="str">
            <v>gl_home_improvement</v>
          </cell>
          <cell r="AL93">
            <v>84180</v>
          </cell>
          <cell r="AM93">
            <v>31</v>
          </cell>
          <cell r="AN93">
            <v>0</v>
          </cell>
          <cell r="AO93">
            <v>12</v>
          </cell>
          <cell r="AP93">
            <v>9</v>
          </cell>
          <cell r="AQ93">
            <v>61900</v>
          </cell>
          <cell r="AR93">
            <v>53459</v>
          </cell>
          <cell r="AS93">
            <v>53459</v>
          </cell>
          <cell r="AT93">
            <v>157562</v>
          </cell>
          <cell r="AU93">
            <v>205393</v>
          </cell>
          <cell r="AV93">
            <v>0</v>
          </cell>
          <cell r="AW93">
            <v>0</v>
          </cell>
          <cell r="AX93">
            <v>0</v>
          </cell>
          <cell r="AY93">
            <v>3</v>
          </cell>
          <cell r="AZ93">
            <v>0</v>
          </cell>
          <cell r="BA93">
            <v>27.54</v>
          </cell>
          <cell r="BB93">
            <v>0</v>
          </cell>
          <cell r="BC93">
            <v>0</v>
          </cell>
          <cell r="BD93">
            <v>0</v>
          </cell>
          <cell r="BE93">
            <v>0</v>
          </cell>
          <cell r="BF93">
            <v>0</v>
          </cell>
          <cell r="BG93">
            <v>0</v>
          </cell>
        </row>
        <row r="93">
          <cell r="BP93">
            <v>120.5</v>
          </cell>
          <cell r="BQ93">
            <v>6</v>
          </cell>
          <cell r="BR93">
            <v>46185</v>
          </cell>
          <cell r="BS93">
            <v>46181</v>
          </cell>
          <cell r="BT93" t="str">
            <v>是</v>
          </cell>
          <cell r="BU93" t="str">
            <v>否</v>
          </cell>
          <cell r="BV93">
            <v>58.5</v>
          </cell>
          <cell r="BW93">
            <v>120.5</v>
          </cell>
          <cell r="BX93">
            <v>46183</v>
          </cell>
          <cell r="BY93">
            <v>3</v>
          </cell>
          <cell r="BZ93">
            <v>0</v>
          </cell>
          <cell r="CA93">
            <v>0</v>
          </cell>
          <cell r="CB93">
            <v>0</v>
          </cell>
          <cell r="CC93">
            <v>0</v>
          </cell>
          <cell r="CD93">
            <v>31</v>
          </cell>
          <cell r="CE93" t="str">
            <v>--</v>
          </cell>
          <cell r="CF93" t="str">
            <v>N</v>
          </cell>
        </row>
        <row r="94">
          <cell r="A94" t="str">
            <v>X001BQPZUH</v>
          </cell>
          <cell r="B94" t="str">
            <v>CZ Amazon JP</v>
          </cell>
          <cell r="C94" t="str">
            <v>JR-TD0X-QDIX</v>
          </cell>
          <cell r="D94" t="str">
            <v>X001BQPZUH</v>
          </cell>
          <cell r="E94" t="str">
            <v>B0FVSCFRM7</v>
          </cell>
          <cell r="F94" t="str">
            <v>3DMakerpro seal lite ハンドヘルド3Dスキャナー 3Dプリンティング「Seal Lite」0.02mmの高精度、10FPSの高速スキャン、手ぶれ補正レンズ搭載、Windows/MacOS対応3Dモデルスキャナー - プレミアムキット （アップグレード版）</v>
          </cell>
          <cell r="G94" t="str">
            <v>New</v>
          </cell>
          <cell r="H94">
            <v>18</v>
          </cell>
          <cell r="I94">
            <v>0</v>
          </cell>
          <cell r="J94">
            <v>0</v>
          </cell>
          <cell r="K94">
            <v>18</v>
          </cell>
          <cell r="L94">
            <v>0</v>
          </cell>
          <cell r="M94">
            <v>0</v>
          </cell>
          <cell r="N94">
            <v>0</v>
          </cell>
          <cell r="O94" t="str">
            <v>JPY</v>
          </cell>
          <cell r="P94">
            <v>0</v>
          </cell>
          <cell r="Q94">
            <v>0</v>
          </cell>
          <cell r="R94">
            <v>0</v>
          </cell>
          <cell r="S94">
            <v>0</v>
          </cell>
          <cell r="T94" t="str">
            <v>Low traffic</v>
          </cell>
          <cell r="U94">
            <v>71900</v>
          </cell>
          <cell r="V94">
            <v>0</v>
          </cell>
          <cell r="W94">
            <v>71900</v>
          </cell>
          <cell r="X94">
            <v>0</v>
          </cell>
          <cell r="Y94" t="str">
            <v>推广商品</v>
          </cell>
          <cell r="Z94">
            <v>0</v>
          </cell>
          <cell r="AA94">
            <v>0</v>
          </cell>
          <cell r="AB94">
            <v>0</v>
          </cell>
          <cell r="AC94">
            <v>0</v>
          </cell>
          <cell r="AD94">
            <v>863293.91</v>
          </cell>
          <cell r="AE94">
            <v>0</v>
          </cell>
          <cell r="AF94">
            <v>0.006422</v>
          </cell>
          <cell r="AG94" t="str">
            <v>cubic meter</v>
          </cell>
          <cell r="AH94" t="str">
            <v>Standard</v>
          </cell>
          <cell r="AI94">
            <v>0.115596</v>
          </cell>
          <cell r="AJ94" t="str">
            <v>JP</v>
          </cell>
          <cell r="AK94" t="str">
            <v>gl_pc</v>
          </cell>
          <cell r="AL94">
            <v>273312</v>
          </cell>
          <cell r="AM94">
            <v>366</v>
          </cell>
          <cell r="AN94">
            <v>18</v>
          </cell>
        </row>
        <row r="94">
          <cell r="AQ94">
            <v>71900</v>
          </cell>
          <cell r="AR94">
            <v>0</v>
          </cell>
          <cell r="AS94">
            <v>0</v>
          </cell>
          <cell r="AT94">
            <v>0</v>
          </cell>
          <cell r="AU94">
            <v>0</v>
          </cell>
          <cell r="AV94">
            <v>0</v>
          </cell>
          <cell r="AW94">
            <v>0</v>
          </cell>
          <cell r="AX94">
            <v>0</v>
          </cell>
          <cell r="AY94">
            <v>0</v>
          </cell>
          <cell r="AZ94">
            <v>0</v>
          </cell>
          <cell r="BA94">
            <v>547.97</v>
          </cell>
          <cell r="BB94">
            <v>0</v>
          </cell>
          <cell r="BC94">
            <v>0</v>
          </cell>
          <cell r="BD94">
            <v>0</v>
          </cell>
          <cell r="BE94">
            <v>0</v>
          </cell>
          <cell r="BF94">
            <v>0</v>
          </cell>
          <cell r="BG94">
            <v>0</v>
          </cell>
        </row>
        <row r="94">
          <cell r="BQ94">
            <v>0</v>
          </cell>
        </row>
        <row r="94">
          <cell r="BW94">
            <v>1620</v>
          </cell>
          <cell r="BX94">
            <v>46183</v>
          </cell>
          <cell r="BY94">
            <v>18</v>
          </cell>
          <cell r="BZ94">
            <v>0</v>
          </cell>
          <cell r="CA94">
            <v>0</v>
          </cell>
          <cell r="CB94">
            <v>0</v>
          </cell>
          <cell r="CC94">
            <v>0</v>
          </cell>
          <cell r="CD94">
            <v>366</v>
          </cell>
          <cell r="CE94" t="str">
            <v>--</v>
          </cell>
          <cell r="CF94" t="str">
            <v>N</v>
          </cell>
        </row>
        <row r="95">
          <cell r="A95" t="str">
            <v>X001BO4SXJ</v>
          </cell>
          <cell r="B95" t="str">
            <v>CZ Amazon JP</v>
          </cell>
          <cell r="C95" t="str">
            <v>3F-KJDM-M3B2</v>
          </cell>
          <cell r="D95" t="str">
            <v>X001BO4SXJ</v>
          </cell>
          <cell r="E95" t="str">
            <v>B0FT7ZZK77</v>
          </cell>
          <cell r="F95" t="str">
            <v>Seal Lite ハンディ3Dスキャナー 3Dプリンター用 0.02mm高精細精度 10FPS高速スキャン 手ブレ補正レンズ搭載 Windows/MacOS対応（スタンダード版）</v>
          </cell>
          <cell r="G95" t="str">
            <v>New</v>
          </cell>
          <cell r="H95">
            <v>32</v>
          </cell>
          <cell r="I95">
            <v>0</v>
          </cell>
          <cell r="J95">
            <v>0</v>
          </cell>
          <cell r="K95">
            <v>32</v>
          </cell>
          <cell r="L95">
            <v>0</v>
          </cell>
          <cell r="M95">
            <v>0</v>
          </cell>
          <cell r="N95">
            <v>0</v>
          </cell>
          <cell r="O95" t="str">
            <v>JPY</v>
          </cell>
        </row>
        <row r="95">
          <cell r="T95" t="str">
            <v>Low traffic</v>
          </cell>
          <cell r="U95">
            <v>61600</v>
          </cell>
          <cell r="V95">
            <v>0</v>
          </cell>
          <cell r="W95">
            <v>61600</v>
          </cell>
          <cell r="X95">
            <v>0</v>
          </cell>
          <cell r="Y95" t="str">
            <v>推广商品</v>
          </cell>
          <cell r="Z95">
            <v>0</v>
          </cell>
          <cell r="AA95">
            <v>0</v>
          </cell>
          <cell r="AB95">
            <v>0</v>
          </cell>
          <cell r="AC95">
            <v>0</v>
          </cell>
          <cell r="AD95">
            <v>113759.74</v>
          </cell>
          <cell r="AE95">
            <v>0</v>
          </cell>
          <cell r="AF95" t="str">
            <v>5.12E-4</v>
          </cell>
          <cell r="AG95" t="str">
            <v>cubic meter</v>
          </cell>
          <cell r="AH95" t="str">
            <v>Standard</v>
          </cell>
          <cell r="AI95">
            <v>0.016384</v>
          </cell>
          <cell r="AJ95" t="str">
            <v>JP</v>
          </cell>
          <cell r="AK95" t="str">
            <v>gl_home_improvement</v>
          </cell>
        </row>
        <row r="95">
          <cell r="AN95">
            <v>32</v>
          </cell>
        </row>
        <row r="95">
          <cell r="AQ95">
            <v>61600</v>
          </cell>
        </row>
        <row r="95">
          <cell r="AV95">
            <v>0</v>
          </cell>
          <cell r="AW95">
            <v>0</v>
          </cell>
          <cell r="AX95">
            <v>0</v>
          </cell>
          <cell r="AY95">
            <v>0</v>
          </cell>
          <cell r="AZ95">
            <v>0</v>
          </cell>
          <cell r="BA95">
            <v>77.67</v>
          </cell>
          <cell r="BB95">
            <v>0</v>
          </cell>
          <cell r="BC95">
            <v>0</v>
          </cell>
          <cell r="BD95">
            <v>0</v>
          </cell>
          <cell r="BE95">
            <v>0</v>
          </cell>
          <cell r="BF95">
            <v>0</v>
          </cell>
          <cell r="BG95">
            <v>0</v>
          </cell>
        </row>
        <row r="95">
          <cell r="BQ95">
            <v>0</v>
          </cell>
        </row>
        <row r="95">
          <cell r="BX95">
            <v>46183</v>
          </cell>
          <cell r="BY95">
            <v>32</v>
          </cell>
          <cell r="BZ95">
            <v>0</v>
          </cell>
          <cell r="CA95">
            <v>0</v>
          </cell>
          <cell r="CB95">
            <v>0</v>
          </cell>
          <cell r="CC95">
            <v>0</v>
          </cell>
        </row>
        <row r="95">
          <cell r="CE95" t="str">
            <v>--</v>
          </cell>
          <cell r="CF95" t="str">
            <v>N</v>
          </cell>
        </row>
        <row r="96">
          <cell r="A96" t="str">
            <v>X001BQRJZL</v>
          </cell>
          <cell r="B96" t="str">
            <v>CZ Amazon JP</v>
          </cell>
          <cell r="C96" t="str">
            <v>EY-BK17-IXLI</v>
          </cell>
          <cell r="D96" t="str">
            <v>X001BQRJZL</v>
          </cell>
          <cell r="E96" t="str">
            <v>B0FVSRYZ4Z</v>
          </cell>
          <cell r="F96" t="str">
            <v>3DMakerpro高精度0.03mmハンディヘルド3DスキャナーMoose アップグレード版 24ビットカラーカメラ・手ぶれ補正レンズ搭載、コンパクト設計でWindows/MacOS対応の3Dプリンター用モデリングスキャナー （アップグレード版）</v>
          </cell>
          <cell r="G96" t="str">
            <v>New</v>
          </cell>
          <cell r="H96">
            <v>43</v>
          </cell>
          <cell r="I96">
            <v>0</v>
          </cell>
          <cell r="J96">
            <v>0</v>
          </cell>
          <cell r="K96">
            <v>43</v>
          </cell>
          <cell r="L96">
            <v>0</v>
          </cell>
          <cell r="M96">
            <v>0</v>
          </cell>
          <cell r="N96">
            <v>0</v>
          </cell>
          <cell r="O96" t="str">
            <v>JPY</v>
          </cell>
          <cell r="P96">
            <v>0</v>
          </cell>
          <cell r="Q96">
            <v>0</v>
          </cell>
          <cell r="R96">
            <v>0</v>
          </cell>
          <cell r="S96">
            <v>0</v>
          </cell>
          <cell r="T96" t="str">
            <v>Low traffic</v>
          </cell>
          <cell r="U96">
            <v>129410</v>
          </cell>
          <cell r="V96">
            <v>0</v>
          </cell>
          <cell r="W96">
            <v>129410</v>
          </cell>
          <cell r="X96">
            <v>0</v>
          </cell>
          <cell r="Y96" t="str">
            <v>推广商品</v>
          </cell>
          <cell r="Z96">
            <v>0</v>
          </cell>
          <cell r="AA96">
            <v>0</v>
          </cell>
          <cell r="AB96">
            <v>0</v>
          </cell>
          <cell r="AC96">
            <v>0</v>
          </cell>
          <cell r="AD96">
            <v>3601022.62</v>
          </cell>
          <cell r="AE96">
            <v>0</v>
          </cell>
          <cell r="AF96">
            <v>0.00642</v>
          </cell>
          <cell r="AG96" t="str">
            <v>cubic meter</v>
          </cell>
          <cell r="AH96" t="str">
            <v>Standard</v>
          </cell>
          <cell r="AI96">
            <v>0.276044</v>
          </cell>
          <cell r="AJ96" t="str">
            <v>JP</v>
          </cell>
          <cell r="AK96" t="str">
            <v>gl_home_improvement</v>
          </cell>
        </row>
        <row r="96">
          <cell r="AM96">
            <v>366</v>
          </cell>
          <cell r="AN96">
            <v>43</v>
          </cell>
        </row>
        <row r="96">
          <cell r="AQ96">
            <v>129410</v>
          </cell>
          <cell r="AR96">
            <v>0</v>
          </cell>
          <cell r="AS96">
            <v>0</v>
          </cell>
          <cell r="AT96">
            <v>0</v>
          </cell>
          <cell r="AU96">
            <v>0</v>
          </cell>
          <cell r="AV96">
            <v>0</v>
          </cell>
          <cell r="AW96">
            <v>0</v>
          </cell>
          <cell r="AX96">
            <v>0</v>
          </cell>
          <cell r="AY96">
            <v>0</v>
          </cell>
          <cell r="AZ96">
            <v>0</v>
          </cell>
          <cell r="BA96">
            <v>1308.55</v>
          </cell>
          <cell r="BB96">
            <v>0</v>
          </cell>
          <cell r="BC96">
            <v>0</v>
          </cell>
          <cell r="BD96">
            <v>0</v>
          </cell>
          <cell r="BE96">
            <v>0</v>
          </cell>
          <cell r="BF96">
            <v>0</v>
          </cell>
          <cell r="BG96">
            <v>0</v>
          </cell>
        </row>
        <row r="96">
          <cell r="BQ96">
            <v>0</v>
          </cell>
        </row>
        <row r="96">
          <cell r="BX96">
            <v>46183</v>
          </cell>
          <cell r="BY96">
            <v>43</v>
          </cell>
          <cell r="BZ96">
            <v>0</v>
          </cell>
          <cell r="CA96">
            <v>0</v>
          </cell>
          <cell r="CB96">
            <v>0</v>
          </cell>
          <cell r="CC96">
            <v>0</v>
          </cell>
          <cell r="CD96">
            <v>366</v>
          </cell>
          <cell r="CE96" t="str">
            <v>--</v>
          </cell>
          <cell r="CF96" t="str">
            <v>N</v>
          </cell>
        </row>
        <row r="97">
          <cell r="A97" t="str">
            <v>FNSKU</v>
          </cell>
          <cell r="B97" t="str">
            <v>快照日期</v>
          </cell>
          <cell r="C97" t="str">
            <v>sku</v>
          </cell>
          <cell r="D97" t="str">
            <v>FNSKU</v>
          </cell>
          <cell r="E97" t="str">
            <v>asin</v>
          </cell>
          <cell r="F97" t="str">
            <v>商品名称</v>
          </cell>
          <cell r="G97" t="str">
            <v>condition</v>
          </cell>
          <cell r="H97" t="str">
            <v>available</v>
          </cell>
          <cell r="I97" t="str">
            <v>正在移除的库存数量</v>
          </cell>
          <cell r="J97" t="str">
            <v>库龄 0-90 天</v>
          </cell>
          <cell r="K97" t="str">
            <v>库龄 91-180 天</v>
          </cell>
          <cell r="L97" t="str">
            <v>库龄 181-270 天</v>
          </cell>
          <cell r="M97" t="str">
            <v>库龄 271-365 天</v>
          </cell>
          <cell r="N97" t="str">
            <v>库龄 365 天以上</v>
          </cell>
          <cell r="O97" t="str">
            <v>currency</v>
          </cell>
          <cell r="P97" t="str">
            <v>配送商品数量（过去 7 天）</v>
          </cell>
          <cell r="Q97" t="str">
            <v>配送商品数量（过去 30 天）</v>
          </cell>
          <cell r="R97" t="str">
            <v>配送商品数量（过去 60 天）</v>
          </cell>
          <cell r="S97" t="str">
            <v>配送商品数量（过去 90 天）</v>
          </cell>
          <cell r="T97" t="str">
            <v>alert</v>
          </cell>
          <cell r="U97" t="str">
            <v>您的价格</v>
          </cell>
          <cell r="V97" t="str">
            <v>促销价格</v>
          </cell>
          <cell r="W97" t="str">
            <v>新品最低价格</v>
          </cell>
          <cell r="X97" t="str">
            <v>二手商品最低价格</v>
          </cell>
          <cell r="Y97" t="str">
            <v>建议操作</v>
          </cell>
          <cell r="Z97" t="str">
            <v>售出率</v>
          </cell>
          <cell r="AA97" t="str">
            <v>商品体积</v>
          </cell>
          <cell r="AB97" t="str">
            <v>体积单位</v>
          </cell>
          <cell r="AC97" t="str">
            <v>仓储类型</v>
          </cell>
          <cell r="AD97" t="str">
            <v>仓储容量</v>
          </cell>
          <cell r="AE97" t="str">
            <v>store</v>
          </cell>
          <cell r="AF97" t="str">
            <v>商品类别</v>
          </cell>
          <cell r="AG97" t="str">
            <v>销售排名</v>
          </cell>
          <cell r="AH97" t="str">
            <v>供货天数</v>
          </cell>
          <cell r="AI97" t="str">
            <v>预计冗余数量</v>
          </cell>
          <cell r="AJ97" t="str">
            <v>可维持周数-过去 30 天</v>
          </cell>
          <cell r="AK97" t="str">
            <v>可维持周数-过去 90 天</v>
          </cell>
          <cell r="AL97" t="str">
            <v>推荐报价的价格</v>
          </cell>
          <cell r="AM97" t="str">
            <v>过去 7 天内配送的售出商品</v>
          </cell>
          <cell r="AN97" t="str">
            <v>过去 30 天内配送的售出商品</v>
          </cell>
          <cell r="AO97" t="str">
            <v>过去 60 天内配送的售出商品</v>
          </cell>
          <cell r="AP97" t="str">
            <v>过去 90 天内配送的售出商品</v>
          </cell>
          <cell r="AQ97" t="str">
            <v>库龄 0-30 天</v>
          </cell>
          <cell r="AR97" t="str">
            <v>库龄 31-60 天</v>
          </cell>
          <cell r="AS97" t="str">
            <v>库龄 61-90 天</v>
          </cell>
          <cell r="AT97" t="str">
            <v>库龄 181-330 天</v>
          </cell>
          <cell r="AU97" t="str">
            <v>库龄 331-365 天</v>
          </cell>
          <cell r="AV97" t="str">
            <v>未来 30 天预计仓储成本</v>
          </cell>
          <cell r="AW97" t="str">
            <v>入库数量</v>
          </cell>
          <cell r="AX97" t="str">
            <v>入库-处理中</v>
          </cell>
          <cell r="AY97" t="str">
            <v>入库-已发出</v>
          </cell>
          <cell r="AZ97" t="str">
            <v>入库-已接收</v>
          </cell>
          <cell r="BA97" t="str">
            <v>预留总数量</v>
          </cell>
          <cell r="BB97" t="str">
            <v>不可售数量</v>
          </cell>
          <cell r="BC97" t="str">
            <v>可维持周数</v>
          </cell>
          <cell r="BD97" t="str">
            <v>预计冗余数量可维持周数</v>
          </cell>
          <cell r="BE97" t="str">
            <v>建议订购数量</v>
          </cell>
          <cell r="BF97" t="str">
            <v>建议下单日期</v>
          </cell>
          <cell r="BG97" t="str">
            <v>quantity-to-be-charged-ais-271-300-days</v>
          </cell>
          <cell r="BH97" t="str">
            <v>estimated-ais-271-300-days</v>
          </cell>
          <cell r="BI97" t="str">
            <v>quantity-to-be-charged-ais-301-330-days</v>
          </cell>
          <cell r="BJ97" t="str">
            <v>estimated-ais-301-330-days</v>
          </cell>
          <cell r="BK97" t="str">
            <v>quantity-to-be-charged-ais-331-365-days</v>
          </cell>
          <cell r="BL97" t="str">
            <v>estimated-ais-331-365-days</v>
          </cell>
          <cell r="BM97" t="str">
            <v>quantity-to-be-charged-ais-365-plus-days</v>
          </cell>
          <cell r="BN97" t="str">
            <v>estimated-ais-365-plus-days</v>
          </cell>
          <cell r="BO97" t="str">
            <v>库龄快照日期</v>
          </cell>
          <cell r="BP97" t="str">
            <v>亚马逊物流库存供应</v>
          </cell>
          <cell r="BQ97" t="str">
            <v>Reserved FC Transfer</v>
          </cell>
          <cell r="BR97" t="str">
            <v>Reserved FC Processing</v>
          </cell>
          <cell r="BS97" t="str">
            <v>Reserved Customer Order</v>
          </cell>
          <cell r="BT97" t="str">
            <v>总供货天数（包括未完成货件中的商品）</v>
          </cell>
        </row>
        <row r="98">
          <cell r="A98" t="str">
            <v>X001CDJDW5</v>
          </cell>
          <cell r="B98" t="str">
            <v>CZ Amazon AU</v>
          </cell>
          <cell r="C98" t="str">
            <v>CZ-Seal Lite</v>
          </cell>
          <cell r="D98" t="str">
            <v>X001CDJDW5</v>
          </cell>
          <cell r="E98" t="str">
            <v>B0FJX8M5J3</v>
          </cell>
          <cell r="F98" t="str">
            <v>3DMakerpro 3D Scanner Seal Lite, Small-Format 3D Scanners for Printing, Blue Led Light Source, Up to 0.02mm Accuracy, Mono Texture Scanning</v>
          </cell>
          <cell r="G98" t="str">
            <v>New</v>
          </cell>
          <cell r="H98">
            <v>13</v>
          </cell>
          <cell r="I98">
            <v>0</v>
          </cell>
          <cell r="J98">
            <v>13</v>
          </cell>
          <cell r="K98">
            <v>0</v>
          </cell>
          <cell r="L98">
            <v>0</v>
          </cell>
          <cell r="M98">
            <v>0</v>
          </cell>
          <cell r="N98">
            <v>0</v>
          </cell>
          <cell r="O98" t="str">
            <v>AUD</v>
          </cell>
          <cell r="P98">
            <v>0</v>
          </cell>
          <cell r="Q98">
            <v>1</v>
          </cell>
          <cell r="R98">
            <v>3</v>
          </cell>
          <cell r="S98">
            <v>3</v>
          </cell>
        </row>
        <row r="98">
          <cell r="U98">
            <v>519</v>
          </cell>
          <cell r="V98">
            <v>0</v>
          </cell>
          <cell r="W98">
            <v>519</v>
          </cell>
          <cell r="X98">
            <v>0</v>
          </cell>
          <cell r="Y98" t="str">
            <v>NoRestockExcessActionRequired</v>
          </cell>
          <cell r="Z98">
            <v>0.21</v>
          </cell>
          <cell r="AA98">
            <v>0.002477</v>
          </cell>
          <cell r="AB98" t="str">
            <v>cubic meter</v>
          </cell>
          <cell r="AC98" t="str">
            <v>Standard</v>
          </cell>
          <cell r="AD98">
            <v>0.032196</v>
          </cell>
          <cell r="AE98" t="str">
            <v>AU</v>
          </cell>
          <cell r="AF98" t="str">
            <v>gl_office_product</v>
          </cell>
          <cell r="AG98">
            <v>10743</v>
          </cell>
          <cell r="AH98">
            <v>118</v>
          </cell>
          <cell r="AI98">
            <v>0</v>
          </cell>
          <cell r="AJ98">
            <v>52</v>
          </cell>
          <cell r="AK98">
            <v>56</v>
          </cell>
          <cell r="AL98">
            <v>519</v>
          </cell>
          <cell r="AM98">
            <v>0</v>
          </cell>
          <cell r="AN98">
            <v>519</v>
          </cell>
          <cell r="AO98">
            <v>1557</v>
          </cell>
          <cell r="AP98">
            <v>1557</v>
          </cell>
          <cell r="AQ98">
            <v>0</v>
          </cell>
          <cell r="AR98">
            <v>0</v>
          </cell>
          <cell r="AS98">
            <v>13</v>
          </cell>
          <cell r="AT98">
            <v>0</v>
          </cell>
          <cell r="AU98">
            <v>0</v>
          </cell>
        </row>
        <row r="98">
          <cell r="AW98">
            <v>0</v>
          </cell>
          <cell r="AX98">
            <v>0</v>
          </cell>
          <cell r="AY98">
            <v>0</v>
          </cell>
          <cell r="AZ98">
            <v>0</v>
          </cell>
          <cell r="BA98">
            <v>0</v>
          </cell>
          <cell r="BB98">
            <v>0</v>
          </cell>
          <cell r="BC98" t="str">
            <v>16.857142857142858</v>
          </cell>
          <cell r="BD98">
            <v>0</v>
          </cell>
        </row>
        <row r="98">
          <cell r="BO98">
            <v>46183</v>
          </cell>
          <cell r="BP98">
            <v>13</v>
          </cell>
          <cell r="BQ98">
            <v>0</v>
          </cell>
          <cell r="BR98">
            <v>0</v>
          </cell>
          <cell r="BS98">
            <v>0</v>
          </cell>
          <cell r="BT98">
            <v>118</v>
          </cell>
        </row>
        <row r="99">
          <cell r="A99" t="str">
            <v>X001CDK2T3</v>
          </cell>
          <cell r="B99" t="str">
            <v>CZ Amazon AU</v>
          </cell>
          <cell r="C99" t="str">
            <v>CZ-Moose Standard</v>
          </cell>
          <cell r="D99" t="str">
            <v>X001CDK2T3</v>
          </cell>
          <cell r="E99" t="str">
            <v>B0FK4NN2NS</v>
          </cell>
          <cell r="F99" t="str">
            <v>3DMakerpro 3D Scanner Moose, Medium-Format 3D Scanners for Printing, Blue Led Light Source, Up to 0.03mm Accuracy, 24-Bit Full-Color Scanning</v>
          </cell>
          <cell r="G99" t="str">
            <v>New</v>
          </cell>
          <cell r="H99">
            <v>17</v>
          </cell>
          <cell r="I99">
            <v>0</v>
          </cell>
          <cell r="J99">
            <v>18</v>
          </cell>
          <cell r="K99">
            <v>0</v>
          </cell>
          <cell r="L99">
            <v>0</v>
          </cell>
          <cell r="M99">
            <v>0</v>
          </cell>
          <cell r="N99">
            <v>0</v>
          </cell>
          <cell r="O99" t="str">
            <v>AUD</v>
          </cell>
          <cell r="P99">
            <v>0</v>
          </cell>
          <cell r="Q99">
            <v>1</v>
          </cell>
          <cell r="R99">
            <v>2</v>
          </cell>
          <cell r="S99">
            <v>2</v>
          </cell>
        </row>
        <row r="99">
          <cell r="U99">
            <v>1039</v>
          </cell>
          <cell r="V99">
            <v>0</v>
          </cell>
          <cell r="W99">
            <v>1039</v>
          </cell>
          <cell r="X99">
            <v>0</v>
          </cell>
          <cell r="Y99" t="str">
            <v>NoRestockExcessActionRequired</v>
          </cell>
          <cell r="Z99">
            <v>0.11</v>
          </cell>
          <cell r="AA99">
            <v>0.002082</v>
          </cell>
          <cell r="AB99" t="str">
            <v>cubic meter</v>
          </cell>
          <cell r="AC99" t="str">
            <v>Standard</v>
          </cell>
          <cell r="AD99">
            <v>0.035389</v>
          </cell>
          <cell r="AE99" t="str">
            <v>AU</v>
          </cell>
          <cell r="AF99" t="str">
            <v>gl_biss</v>
          </cell>
          <cell r="AG99">
            <v>16330</v>
          </cell>
          <cell r="AH99">
            <v>168</v>
          </cell>
          <cell r="AI99">
            <v>0</v>
          </cell>
          <cell r="AJ99">
            <v>68</v>
          </cell>
          <cell r="AK99">
            <v>110</v>
          </cell>
          <cell r="AL99">
            <v>1039</v>
          </cell>
          <cell r="AM99">
            <v>0</v>
          </cell>
          <cell r="AN99">
            <v>1039</v>
          </cell>
          <cell r="AO99">
            <v>2078</v>
          </cell>
          <cell r="AP99">
            <v>2078</v>
          </cell>
          <cell r="AQ99">
            <v>0</v>
          </cell>
          <cell r="AR99">
            <v>0</v>
          </cell>
          <cell r="AS99">
            <v>18</v>
          </cell>
          <cell r="AT99">
            <v>0</v>
          </cell>
          <cell r="AU99">
            <v>0</v>
          </cell>
        </row>
        <row r="99">
          <cell r="AW99">
            <v>0</v>
          </cell>
          <cell r="AX99">
            <v>0</v>
          </cell>
          <cell r="AY99">
            <v>0</v>
          </cell>
          <cell r="AZ99">
            <v>0</v>
          </cell>
          <cell r="BA99">
            <v>1</v>
          </cell>
          <cell r="BB99">
            <v>0</v>
          </cell>
          <cell r="BC99">
            <v>24</v>
          </cell>
          <cell r="BD99">
            <v>0</v>
          </cell>
        </row>
        <row r="99">
          <cell r="BO99">
            <v>46183</v>
          </cell>
          <cell r="BP99">
            <v>17</v>
          </cell>
          <cell r="BQ99">
            <v>0</v>
          </cell>
          <cell r="BR99">
            <v>0</v>
          </cell>
          <cell r="BS99">
            <v>1</v>
          </cell>
          <cell r="BT99">
            <v>175</v>
          </cell>
        </row>
        <row r="100">
          <cell r="A100" t="str">
            <v>X001DD4B5D</v>
          </cell>
          <cell r="B100" t="str">
            <v>CZ Amazon AU</v>
          </cell>
          <cell r="C100" t="str">
            <v>CZ-Fox</v>
          </cell>
          <cell r="D100" t="str">
            <v>X001DD4B5D</v>
          </cell>
          <cell r="E100" t="str">
            <v>B0GYYJQ921</v>
          </cell>
          <cell r="F100" t="str">
            <v>3DMakerpro Fox 3D Scanner, 0.07mm Accuracy 3D Scanner for 3D Printing, Entry-Level Easy Scanning for Small to Large Objects</v>
          </cell>
        </row>
        <row r="100">
          <cell r="H100">
            <v>0</v>
          </cell>
          <cell r="I100">
            <v>-1</v>
          </cell>
        </row>
        <row r="100">
          <cell r="O100" t="str">
            <v>AUD</v>
          </cell>
        </row>
        <row r="100">
          <cell r="U100">
            <v>0</v>
          </cell>
          <cell r="V100">
            <v>0</v>
          </cell>
          <cell r="W100">
            <v>0</v>
          </cell>
          <cell r="X100">
            <v>0</v>
          </cell>
          <cell r="Y100" t="str">
            <v>编辑商品信息</v>
          </cell>
          <cell r="Z100">
            <v>-1</v>
          </cell>
        </row>
        <row r="100">
          <cell r="AC100" t="str">
            <v>Standard</v>
          </cell>
        </row>
        <row r="100">
          <cell r="AE100" t="str">
            <v>AU</v>
          </cell>
          <cell r="AF100" t="str">
            <v>gl_biss</v>
          </cell>
        </row>
        <row r="100">
          <cell r="AI100">
            <v>0</v>
          </cell>
        </row>
        <row r="100">
          <cell r="AT100">
            <v>0</v>
          </cell>
        </row>
        <row r="100">
          <cell r="AW100">
            <v>30</v>
          </cell>
          <cell r="AX100">
            <v>30</v>
          </cell>
          <cell r="AY100">
            <v>0</v>
          </cell>
          <cell r="AZ100">
            <v>0</v>
          </cell>
          <cell r="BA100">
            <v>0</v>
          </cell>
          <cell r="BB100">
            <v>0</v>
          </cell>
          <cell r="BC100">
            <v>52</v>
          </cell>
          <cell r="BD100">
            <v>30</v>
          </cell>
        </row>
        <row r="100">
          <cell r="BP100">
            <v>30</v>
          </cell>
          <cell r="BQ100">
            <v>0</v>
          </cell>
          <cell r="BR100">
            <v>0</v>
          </cell>
          <cell r="BS100">
            <v>0</v>
          </cell>
        </row>
        <row r="101">
          <cell r="A101" t="str">
            <v>X001CDOZ23</v>
          </cell>
          <cell r="B101" t="e">
            <v>#N/A</v>
          </cell>
          <cell r="C101" t="str">
            <v>CZ-Toucan Standard</v>
          </cell>
          <cell r="D101" t="str">
            <v>X001CDOZ23</v>
          </cell>
          <cell r="E101" t="str">
            <v>B0G58PRCPX</v>
          </cell>
          <cell r="F101" t="str">
            <v>3DMakerpro 3D Scanner Toucan, All-in-One Handheld 3D Scanners for 3D Printing, Easy Scanning for Small to Large Objects, No PC Required, 32GB+256GB (Standard)</v>
          </cell>
        </row>
        <row r="101">
          <cell r="I101">
            <v>-1</v>
          </cell>
        </row>
        <row r="101">
          <cell r="O101" t="str">
            <v>AUD</v>
          </cell>
        </row>
        <row r="101">
          <cell r="U101">
            <v>0</v>
          </cell>
          <cell r="V101">
            <v>0</v>
          </cell>
          <cell r="W101">
            <v>0</v>
          </cell>
          <cell r="X101">
            <v>0</v>
          </cell>
          <cell r="Y101" t="str">
            <v>NoRestockExcessActionRequired</v>
          </cell>
          <cell r="Z101">
            <v>-1</v>
          </cell>
        </row>
        <row r="101">
          <cell r="AE101" t="str">
            <v>AU</v>
          </cell>
          <cell r="AF101" t="str">
            <v>gl_office_product</v>
          </cell>
        </row>
        <row r="101">
          <cell r="AI101">
            <v>0</v>
          </cell>
        </row>
        <row r="101">
          <cell r="AL101">
            <v>3557.42</v>
          </cell>
        </row>
        <row r="101">
          <cell r="AT101">
            <v>0</v>
          </cell>
        </row>
        <row r="101">
          <cell r="AW101">
            <v>0</v>
          </cell>
        </row>
        <row r="101">
          <cell r="BA101">
            <v>0</v>
          </cell>
        </row>
        <row r="101">
          <cell r="BC101">
            <v>0</v>
          </cell>
          <cell r="BD101">
            <v>0</v>
          </cell>
        </row>
        <row r="101">
          <cell r="BP101">
            <v>0</v>
          </cell>
        </row>
        <row r="101">
          <cell r="BR101">
            <v>0</v>
          </cell>
        </row>
        <row r="102">
          <cell r="A102" t="str">
            <v>X001CDOZXR</v>
          </cell>
          <cell r="B102" t="str">
            <v>CZ Amazon AU</v>
          </cell>
          <cell r="C102" t="str">
            <v>CZ-Toucan Premium</v>
          </cell>
          <cell r="D102" t="str">
            <v>X001CDOZXR</v>
          </cell>
          <cell r="E102" t="str">
            <v>B0G58TTPGM</v>
          </cell>
          <cell r="F102" t="str">
            <v>3DMakerpro 3D Scanner Toucan, All-in-One Handheld 3D Scanners for 3D Printing, Easy Scanning for Small to Large Objects, No PC Required, 32GB+256GB (Premium)</v>
          </cell>
          <cell r="G102" t="str">
            <v>New</v>
          </cell>
          <cell r="H102">
            <v>10</v>
          </cell>
          <cell r="I102">
            <v>0</v>
          </cell>
          <cell r="J102">
            <v>10</v>
          </cell>
          <cell r="K102">
            <v>0</v>
          </cell>
          <cell r="L102">
            <v>0</v>
          </cell>
          <cell r="M102">
            <v>0</v>
          </cell>
          <cell r="N102">
            <v>0</v>
          </cell>
          <cell r="O102" t="str">
            <v>AUD</v>
          </cell>
        </row>
        <row r="102">
          <cell r="T102" t="str">
            <v>Low conversion</v>
          </cell>
          <cell r="U102">
            <v>2989</v>
          </cell>
          <cell r="V102">
            <v>0</v>
          </cell>
          <cell r="W102">
            <v>2989</v>
          </cell>
          <cell r="X102">
            <v>0</v>
          </cell>
          <cell r="Y102" t="str">
            <v>降低商品价格</v>
          </cell>
          <cell r="Z102">
            <v>0</v>
          </cell>
          <cell r="AA102">
            <v>0.006298</v>
          </cell>
          <cell r="AB102" t="str">
            <v>cubic meter</v>
          </cell>
          <cell r="AC102" t="str">
            <v>Standard</v>
          </cell>
          <cell r="AD102">
            <v>0.062976</v>
          </cell>
          <cell r="AE102" t="str">
            <v>AU</v>
          </cell>
          <cell r="AF102" t="str">
            <v>gl_office_product</v>
          </cell>
        </row>
        <row r="102">
          <cell r="AI102">
            <v>0</v>
          </cell>
        </row>
        <row r="102">
          <cell r="AL102">
            <v>2989</v>
          </cell>
        </row>
        <row r="102">
          <cell r="AQ102">
            <v>0</v>
          </cell>
          <cell r="AR102">
            <v>0</v>
          </cell>
          <cell r="AS102">
            <v>10</v>
          </cell>
          <cell r="AT102">
            <v>0</v>
          </cell>
          <cell r="AU102">
            <v>0</v>
          </cell>
        </row>
        <row r="102">
          <cell r="AW102">
            <v>0</v>
          </cell>
          <cell r="AX102">
            <v>0</v>
          </cell>
          <cell r="AY102">
            <v>0</v>
          </cell>
          <cell r="AZ102">
            <v>0</v>
          </cell>
          <cell r="BA102">
            <v>0</v>
          </cell>
          <cell r="BB102">
            <v>0</v>
          </cell>
          <cell r="BC102">
            <v>52</v>
          </cell>
          <cell r="BD102">
            <v>10</v>
          </cell>
        </row>
        <row r="102">
          <cell r="BO102">
            <v>46183</v>
          </cell>
          <cell r="BP102">
            <v>10</v>
          </cell>
          <cell r="BQ102">
            <v>0</v>
          </cell>
          <cell r="BR102">
            <v>0</v>
          </cell>
          <cell r="BS102">
            <v>0</v>
          </cell>
        </row>
        <row r="103">
          <cell r="A103" t="str">
            <v>X001CDGWOR</v>
          </cell>
          <cell r="B103" t="str">
            <v>CZ Amazon AU</v>
          </cell>
          <cell r="C103" t="str">
            <v>CZ-Seal Lite Premuim</v>
          </cell>
          <cell r="D103" t="str">
            <v>X001CDGWOR</v>
          </cell>
          <cell r="E103" t="str">
            <v>B0GBT6FS8Y</v>
          </cell>
          <cell r="F103" t="str">
            <v>3DMakerpro 3D Scanner Seal Lite, Small-Format 3D Scanners for Printing, Blue Led Light Source, Up to 0.02mm Accuracy, Mono Texture Scanning</v>
          </cell>
          <cell r="G103" t="str">
            <v>New</v>
          </cell>
          <cell r="H103">
            <v>10</v>
          </cell>
          <cell r="I103">
            <v>0</v>
          </cell>
          <cell r="J103">
            <v>10</v>
          </cell>
          <cell r="K103">
            <v>0</v>
          </cell>
          <cell r="L103">
            <v>0</v>
          </cell>
          <cell r="M103">
            <v>0</v>
          </cell>
          <cell r="N103">
            <v>0</v>
          </cell>
          <cell r="O103" t="str">
            <v>AUD</v>
          </cell>
          <cell r="P103">
            <v>0</v>
          </cell>
          <cell r="Q103">
            <v>2</v>
          </cell>
          <cell r="R103">
            <v>2</v>
          </cell>
          <cell r="S103">
            <v>2</v>
          </cell>
        </row>
        <row r="103">
          <cell r="U103">
            <v>599</v>
          </cell>
          <cell r="V103">
            <v>0</v>
          </cell>
          <cell r="W103">
            <v>599</v>
          </cell>
          <cell r="X103">
            <v>0</v>
          </cell>
          <cell r="Y103" t="str">
            <v>NoRestockExcessActionRequired</v>
          </cell>
          <cell r="Z103">
            <v>0.18</v>
          </cell>
          <cell r="AA103">
            <v>0.007028</v>
          </cell>
          <cell r="AB103" t="str">
            <v>cubic meter</v>
          </cell>
          <cell r="AC103" t="str">
            <v>Standard</v>
          </cell>
          <cell r="AD103">
            <v>0.07028</v>
          </cell>
          <cell r="AE103" t="str">
            <v>AU</v>
          </cell>
          <cell r="AF103" t="str">
            <v>gl_office_product</v>
          </cell>
          <cell r="AG103">
            <v>12083</v>
          </cell>
          <cell r="AH103">
            <v>124</v>
          </cell>
          <cell r="AI103">
            <v>0</v>
          </cell>
          <cell r="AJ103">
            <v>20</v>
          </cell>
          <cell r="AK103">
            <v>65</v>
          </cell>
          <cell r="AL103">
            <v>599</v>
          </cell>
          <cell r="AM103">
            <v>0</v>
          </cell>
          <cell r="AN103">
            <v>1198</v>
          </cell>
          <cell r="AO103">
            <v>1198</v>
          </cell>
          <cell r="AP103">
            <v>1198</v>
          </cell>
          <cell r="AQ103">
            <v>0</v>
          </cell>
          <cell r="AR103">
            <v>0</v>
          </cell>
          <cell r="AS103">
            <v>10</v>
          </cell>
          <cell r="AT103">
            <v>0</v>
          </cell>
          <cell r="AU103">
            <v>0</v>
          </cell>
        </row>
        <row r="103">
          <cell r="AW103">
            <v>0</v>
          </cell>
          <cell r="AX103">
            <v>0</v>
          </cell>
          <cell r="AY103">
            <v>0</v>
          </cell>
          <cell r="AZ103">
            <v>0</v>
          </cell>
          <cell r="BA103">
            <v>0</v>
          </cell>
          <cell r="BB103">
            <v>0</v>
          </cell>
          <cell r="BC103" t="str">
            <v>17.714285714285715</v>
          </cell>
          <cell r="BD103">
            <v>0</v>
          </cell>
        </row>
        <row r="103">
          <cell r="BO103">
            <v>46183</v>
          </cell>
          <cell r="BP103">
            <v>10</v>
          </cell>
          <cell r="BQ103">
            <v>0</v>
          </cell>
          <cell r="BR103">
            <v>0</v>
          </cell>
          <cell r="BS103">
            <v>0</v>
          </cell>
          <cell r="BT103">
            <v>124</v>
          </cell>
        </row>
        <row r="104">
          <cell r="A104" t="str">
            <v>X001C9Y8UB</v>
          </cell>
          <cell r="B104" t="str">
            <v>CZ Amazon AU</v>
          </cell>
          <cell r="C104" t="str">
            <v>CZ-Tripod</v>
          </cell>
          <cell r="D104" t="str">
            <v>X001C9Y8UB</v>
          </cell>
          <cell r="E104" t="str">
            <v>B0FJS5TY1R</v>
          </cell>
          <cell r="F104" t="str">
            <v>3DMakerpro 3D Scanner Tripod Holder for Moose/Moose Lite Seal/Seal Lite 3D Scanner</v>
          </cell>
          <cell r="G104" t="str">
            <v>New</v>
          </cell>
          <cell r="H104">
            <v>15</v>
          </cell>
          <cell r="I104">
            <v>0</v>
          </cell>
          <cell r="J104">
            <v>15</v>
          </cell>
          <cell r="K104">
            <v>0</v>
          </cell>
          <cell r="L104">
            <v>0</v>
          </cell>
          <cell r="M104">
            <v>0</v>
          </cell>
          <cell r="N104">
            <v>0</v>
          </cell>
          <cell r="O104" t="str">
            <v>AUD</v>
          </cell>
          <cell r="P104">
            <v>0</v>
          </cell>
          <cell r="Q104">
            <v>2</v>
          </cell>
          <cell r="R104">
            <v>5</v>
          </cell>
          <cell r="S104">
            <v>5</v>
          </cell>
          <cell r="T104" t="str">
            <v>Low traffic</v>
          </cell>
          <cell r="U104">
            <v>56.99</v>
          </cell>
          <cell r="V104">
            <v>0</v>
          </cell>
          <cell r="W104">
            <v>56.99</v>
          </cell>
          <cell r="X104">
            <v>0</v>
          </cell>
          <cell r="Y104" t="str">
            <v>推广商品</v>
          </cell>
          <cell r="Z104">
            <v>0.29</v>
          </cell>
          <cell r="AA104" t="str">
            <v>4.3E-4</v>
          </cell>
          <cell r="AB104" t="str">
            <v>cubic meter</v>
          </cell>
          <cell r="AC104" t="str">
            <v>Standard</v>
          </cell>
          <cell r="AD104">
            <v>0.006457</v>
          </cell>
          <cell r="AE104" t="str">
            <v>AU</v>
          </cell>
          <cell r="AF104" t="str">
            <v>gl_camera</v>
          </cell>
          <cell r="AG104">
            <v>13874</v>
          </cell>
          <cell r="AH104">
            <v>366</v>
          </cell>
          <cell r="AI104">
            <v>0</v>
          </cell>
          <cell r="AJ104">
            <v>70</v>
          </cell>
          <cell r="AK104">
            <v>91</v>
          </cell>
          <cell r="AL104">
            <v>56.99</v>
          </cell>
          <cell r="AM104">
            <v>0</v>
          </cell>
          <cell r="AN104">
            <v>113.98</v>
          </cell>
          <cell r="AO104">
            <v>284.95</v>
          </cell>
          <cell r="AP104">
            <v>284.95</v>
          </cell>
          <cell r="AQ104">
            <v>0</v>
          </cell>
          <cell r="AR104">
            <v>0</v>
          </cell>
          <cell r="AS104">
            <v>15</v>
          </cell>
          <cell r="AT104">
            <v>0</v>
          </cell>
          <cell r="AU104">
            <v>0</v>
          </cell>
        </row>
        <row r="104">
          <cell r="AW104">
            <v>20</v>
          </cell>
          <cell r="AX104">
            <v>0</v>
          </cell>
          <cell r="AY104">
            <v>20</v>
          </cell>
          <cell r="AZ104">
            <v>0</v>
          </cell>
          <cell r="BA104">
            <v>0</v>
          </cell>
          <cell r="BB104">
            <v>0</v>
          </cell>
          <cell r="BC104">
            <v>52</v>
          </cell>
          <cell r="BD104">
            <v>31</v>
          </cell>
        </row>
        <row r="104">
          <cell r="BO104">
            <v>46183</v>
          </cell>
          <cell r="BP104">
            <v>35</v>
          </cell>
          <cell r="BQ104">
            <v>0</v>
          </cell>
          <cell r="BR104">
            <v>0</v>
          </cell>
          <cell r="BS104">
            <v>0</v>
          </cell>
          <cell r="BT104">
            <v>366</v>
          </cell>
        </row>
        <row r="105">
          <cell r="A105" t="str">
            <v>X001CDJD11</v>
          </cell>
          <cell r="B105" t="str">
            <v>CZ Amazon AU</v>
          </cell>
          <cell r="C105" t="str">
            <v>CZ-Moose Lite Standard</v>
          </cell>
          <cell r="D105" t="str">
            <v>X001CDJD11</v>
          </cell>
          <cell r="E105" t="str">
            <v>B0FK4T67ZQ</v>
          </cell>
          <cell r="F105" t="str">
            <v>3DMakerpro 3D Scanner Moose Lite, Medium-Format 3D Scanners for Printing, NIR Light Source, Up to 0.05mm Accuracy, Mono Texture Scanning</v>
          </cell>
          <cell r="G105" t="str">
            <v>New</v>
          </cell>
          <cell r="H105">
            <v>13</v>
          </cell>
          <cell r="I105">
            <v>0</v>
          </cell>
          <cell r="J105">
            <v>13</v>
          </cell>
          <cell r="K105">
            <v>0</v>
          </cell>
          <cell r="L105">
            <v>0</v>
          </cell>
          <cell r="M105">
            <v>0</v>
          </cell>
          <cell r="N105">
            <v>0</v>
          </cell>
          <cell r="O105" t="str">
            <v>AUD</v>
          </cell>
          <cell r="P105">
            <v>1</v>
          </cell>
          <cell r="Q105">
            <v>6</v>
          </cell>
          <cell r="R105">
            <v>7</v>
          </cell>
          <cell r="S105">
            <v>7</v>
          </cell>
        </row>
        <row r="105">
          <cell r="U105">
            <v>579</v>
          </cell>
          <cell r="V105">
            <v>0</v>
          </cell>
          <cell r="W105">
            <v>579</v>
          </cell>
          <cell r="X105">
            <v>0</v>
          </cell>
          <cell r="Y105" t="str">
            <v>CreateShippingPlan</v>
          </cell>
          <cell r="Z105">
            <v>0.4</v>
          </cell>
          <cell r="AA105">
            <v>0.001789</v>
          </cell>
          <cell r="AB105" t="str">
            <v>cubic meter</v>
          </cell>
          <cell r="AC105" t="str">
            <v>Standard</v>
          </cell>
          <cell r="AD105">
            <v>0.023252</v>
          </cell>
          <cell r="AE105" t="str">
            <v>AU</v>
          </cell>
          <cell r="AF105" t="str">
            <v>gl_biss</v>
          </cell>
          <cell r="AG105">
            <v>9797</v>
          </cell>
          <cell r="AH105">
            <v>45</v>
          </cell>
          <cell r="AI105">
            <v>0</v>
          </cell>
          <cell r="AJ105">
            <v>8</v>
          </cell>
          <cell r="AK105">
            <v>24</v>
          </cell>
          <cell r="AL105">
            <v>579</v>
          </cell>
          <cell r="AM105">
            <v>579</v>
          </cell>
          <cell r="AN105">
            <v>3474</v>
          </cell>
          <cell r="AO105">
            <v>4053</v>
          </cell>
          <cell r="AP105">
            <v>4053</v>
          </cell>
          <cell r="AQ105">
            <v>0</v>
          </cell>
          <cell r="AR105">
            <v>0</v>
          </cell>
          <cell r="AS105">
            <v>13</v>
          </cell>
          <cell r="AT105">
            <v>0</v>
          </cell>
          <cell r="AU105">
            <v>0</v>
          </cell>
        </row>
        <row r="105">
          <cell r="AW105">
            <v>0</v>
          </cell>
          <cell r="AX105">
            <v>0</v>
          </cell>
          <cell r="AY105">
            <v>0</v>
          </cell>
          <cell r="AZ105">
            <v>0</v>
          </cell>
          <cell r="BA105">
            <v>0</v>
          </cell>
          <cell r="BB105">
            <v>0</v>
          </cell>
          <cell r="BC105" t="str">
            <v>6.285714285714286</v>
          </cell>
          <cell r="BD105">
            <v>0</v>
          </cell>
        </row>
        <row r="105">
          <cell r="BO105">
            <v>46183</v>
          </cell>
          <cell r="BP105">
            <v>13</v>
          </cell>
          <cell r="BQ105">
            <v>0</v>
          </cell>
          <cell r="BR105">
            <v>0</v>
          </cell>
          <cell r="BS105">
            <v>0</v>
          </cell>
          <cell r="BT105">
            <v>45</v>
          </cell>
        </row>
        <row r="106">
          <cell r="A106" t="str">
            <v>X001CAA9BH</v>
          </cell>
          <cell r="B106" t="str">
            <v>CZ Amazon AU</v>
          </cell>
          <cell r="C106" t="str">
            <v>CZ-Turntable</v>
          </cell>
          <cell r="D106" t="str">
            <v>X001CAA9BH</v>
          </cell>
          <cell r="E106" t="str">
            <v>B0FJWN93VP</v>
          </cell>
          <cell r="F106" t="str">
            <v>Turntable for 3DMakerpro Moose/Moose Lite Seal/Seal Lite 3D Scanners</v>
          </cell>
          <cell r="G106" t="str">
            <v>New</v>
          </cell>
          <cell r="H106">
            <v>17</v>
          </cell>
          <cell r="I106">
            <v>0</v>
          </cell>
          <cell r="J106">
            <v>17</v>
          </cell>
          <cell r="K106">
            <v>0</v>
          </cell>
          <cell r="L106">
            <v>0</v>
          </cell>
          <cell r="M106">
            <v>0</v>
          </cell>
          <cell r="N106">
            <v>0</v>
          </cell>
          <cell r="O106" t="str">
            <v>AUD</v>
          </cell>
          <cell r="P106">
            <v>1</v>
          </cell>
          <cell r="Q106">
            <v>3</v>
          </cell>
          <cell r="R106">
            <v>3</v>
          </cell>
          <cell r="S106">
            <v>3</v>
          </cell>
          <cell r="T106" t="str">
            <v>Low traffic</v>
          </cell>
          <cell r="U106">
            <v>41.99</v>
          </cell>
          <cell r="V106">
            <v>0</v>
          </cell>
          <cell r="W106">
            <v>41.99</v>
          </cell>
          <cell r="X106">
            <v>0</v>
          </cell>
          <cell r="Y106" t="str">
            <v>NoRestockExcessActionRequired</v>
          </cell>
          <cell r="Z106">
            <v>0.16</v>
          </cell>
          <cell r="AA106">
            <v>0.004982</v>
          </cell>
          <cell r="AB106" t="str">
            <v>cubic meter</v>
          </cell>
          <cell r="AC106" t="str">
            <v>Standard</v>
          </cell>
          <cell r="AD106">
            <v>0.08469</v>
          </cell>
          <cell r="AE106" t="str">
            <v>AU</v>
          </cell>
          <cell r="AF106" t="str">
            <v>gl_home_improvement</v>
          </cell>
          <cell r="AG106">
            <v>8078</v>
          </cell>
          <cell r="AH106">
            <v>246</v>
          </cell>
          <cell r="AI106">
            <v>0</v>
          </cell>
          <cell r="AJ106">
            <v>33</v>
          </cell>
          <cell r="AK106">
            <v>108</v>
          </cell>
          <cell r="AL106">
            <v>41.99</v>
          </cell>
          <cell r="AM106">
            <v>41.99</v>
          </cell>
          <cell r="AN106">
            <v>125.97</v>
          </cell>
          <cell r="AO106">
            <v>125.97</v>
          </cell>
          <cell r="AP106">
            <v>125.97</v>
          </cell>
          <cell r="AQ106">
            <v>0</v>
          </cell>
          <cell r="AR106">
            <v>0</v>
          </cell>
          <cell r="AS106">
            <v>17</v>
          </cell>
          <cell r="AT106">
            <v>0</v>
          </cell>
          <cell r="AU106">
            <v>0</v>
          </cell>
        </row>
        <row r="106">
          <cell r="AW106">
            <v>8</v>
          </cell>
          <cell r="AX106">
            <v>0</v>
          </cell>
          <cell r="AY106">
            <v>8</v>
          </cell>
          <cell r="AZ106">
            <v>0</v>
          </cell>
          <cell r="BA106">
            <v>0</v>
          </cell>
          <cell r="BB106">
            <v>0</v>
          </cell>
          <cell r="BC106" t="str">
            <v>35.142857142857146</v>
          </cell>
          <cell r="BD106">
            <v>0</v>
          </cell>
        </row>
        <row r="106">
          <cell r="BO106">
            <v>46183</v>
          </cell>
          <cell r="BP106">
            <v>25</v>
          </cell>
          <cell r="BQ106">
            <v>0</v>
          </cell>
          <cell r="BR106">
            <v>0</v>
          </cell>
          <cell r="BS106">
            <v>0</v>
          </cell>
          <cell r="BT106">
            <v>246</v>
          </cell>
        </row>
      </sheetData>
      <sheetData sheetId="11">
        <row r="1">
          <cell r="A1" t="str">
            <v>fnsku</v>
          </cell>
          <cell r="B1" t="str">
            <v>snapshot-date</v>
          </cell>
          <cell r="C1" t="str">
            <v>sku</v>
          </cell>
          <cell r="D1" t="str">
            <v>fnsku</v>
          </cell>
          <cell r="E1" t="str">
            <v>asin</v>
          </cell>
          <cell r="F1" t="str">
            <v>product-name</v>
          </cell>
          <cell r="G1" t="str">
            <v>condition</v>
          </cell>
          <cell r="H1" t="str">
            <v>available</v>
          </cell>
          <cell r="I1" t="str">
            <v>pending-removal-quantity</v>
          </cell>
          <cell r="J1" t="str">
            <v>inv-age-0-to-90-days</v>
          </cell>
          <cell r="K1" t="str">
            <v>inv-age-91-to-180-days</v>
          </cell>
          <cell r="L1" t="str">
            <v>inv-age-181-to-270-days</v>
          </cell>
          <cell r="M1" t="str">
            <v>inv-age-271-to-365-days</v>
          </cell>
          <cell r="N1" t="str">
            <v>inv-age-366-to-455-days</v>
          </cell>
          <cell r="O1" t="str">
            <v>inv-age-456-plus-days</v>
          </cell>
          <cell r="P1" t="str">
            <v>currency</v>
          </cell>
          <cell r="Q1" t="str">
            <v>units-shipped-t7</v>
          </cell>
          <cell r="R1" t="str">
            <v>units-shipped-t30</v>
          </cell>
          <cell r="S1" t="str">
            <v>units-shipped-t60</v>
          </cell>
          <cell r="T1" t="str">
            <v>units-shipped-t90</v>
          </cell>
          <cell r="U1" t="str">
            <v>alert</v>
          </cell>
          <cell r="V1" t="str">
            <v>your-price</v>
          </cell>
          <cell r="W1" t="str">
            <v>sales-price</v>
          </cell>
          <cell r="X1" t="str">
            <v>lowest-price-new-plus-shipping</v>
          </cell>
          <cell r="Y1" t="str">
            <v>lowest-price-used</v>
          </cell>
          <cell r="Z1" t="str">
            <v>recommended-action</v>
          </cell>
          <cell r="AA1" t="str">
            <v>healthy-inventory-level</v>
          </cell>
          <cell r="AB1" t="str">
            <v>recommended-sales-price</v>
          </cell>
          <cell r="AC1" t="str">
            <v>recommended-sale-duration-days</v>
          </cell>
          <cell r="AD1" t="str">
            <v>recommended-removal-quantity</v>
          </cell>
          <cell r="AE1" t="str">
            <v>estimated-cost-savings-of-recommended-actions</v>
          </cell>
          <cell r="AF1" t="str">
            <v>sell-through</v>
          </cell>
          <cell r="AG1" t="str">
            <v>item-volume</v>
          </cell>
          <cell r="AH1" t="str">
            <v>volume-unit-measurement</v>
          </cell>
          <cell r="AI1" t="str">
            <v>storage-type</v>
          </cell>
          <cell r="AJ1" t="str">
            <v>storage-volume</v>
          </cell>
          <cell r="AK1" t="str">
            <v>marketplace</v>
          </cell>
          <cell r="AL1" t="str">
            <v>product-group</v>
          </cell>
          <cell r="AM1" t="str">
            <v>sales-rank</v>
          </cell>
          <cell r="AN1" t="str">
            <v>days-of-supply</v>
          </cell>
          <cell r="AO1" t="str">
            <v>estimated-excess-quantity</v>
          </cell>
          <cell r="AP1" t="str">
            <v>weeks-of-cover-t30</v>
          </cell>
          <cell r="AQ1" t="str">
            <v>weeks-of-cover-t90</v>
          </cell>
          <cell r="AR1" t="str">
            <v>featuredoffer-price</v>
          </cell>
          <cell r="AS1" t="str">
            <v>sales-shipped-last-7-days</v>
          </cell>
          <cell r="AT1" t="str">
            <v>sales-shipped-last-30-days</v>
          </cell>
          <cell r="AU1" t="str">
            <v>sales-shipped-last-60-days</v>
          </cell>
          <cell r="AV1" t="str">
            <v>sales-shipped-last-90-days</v>
          </cell>
          <cell r="AW1" t="str">
            <v>inv-age-0-to-30-days</v>
          </cell>
          <cell r="AX1" t="str">
            <v>inv-age-31-to-60-days</v>
          </cell>
          <cell r="AY1" t="str">
            <v>inv-age-61-to-90-days</v>
          </cell>
          <cell r="AZ1" t="str">
            <v>inv-age-181-to-330-days</v>
          </cell>
          <cell r="BA1" t="str">
            <v>inv-age-331-to-365-days</v>
          </cell>
          <cell r="BB1" t="str">
            <v>estimated-storage-cost-next-month</v>
          </cell>
          <cell r="BC1" t="str">
            <v>inbound-quantity</v>
          </cell>
          <cell r="BD1" t="str">
            <v>inbound-working</v>
          </cell>
          <cell r="BE1" t="str">
            <v>inbound-shipped</v>
          </cell>
          <cell r="BF1" t="str">
            <v>inbound-received</v>
          </cell>
          <cell r="BG1" t="str">
            <v>Total Reserved Quantity</v>
          </cell>
          <cell r="BH1" t="str">
            <v>unfulfillable-quantity</v>
          </cell>
          <cell r="BI1" t="str">
            <v>quantity-to-be-charged-ais-241-270-days</v>
          </cell>
          <cell r="BJ1" t="str">
            <v>estimated-ais-241-270-days</v>
          </cell>
          <cell r="BK1" t="str">
            <v>quantity-to-be-charged-ais-271-300-days</v>
          </cell>
          <cell r="BL1" t="str">
            <v>estimated-ais-271-300-days</v>
          </cell>
          <cell r="BM1" t="str">
            <v>quantity-to-be-charged-ais-301-330-days</v>
          </cell>
          <cell r="BN1" t="str">
            <v>estimated-ais-301-330-days</v>
          </cell>
          <cell r="BO1" t="str">
            <v>quantity-to-be-charged-ais-331-365-days</v>
          </cell>
          <cell r="BP1" t="str">
            <v>estimated-ais-331-365-days</v>
          </cell>
          <cell r="BQ1" t="str">
            <v>quantity-to-be-charged-ais-366-455-days</v>
          </cell>
          <cell r="BR1" t="str">
            <v>estimated-ais-366-455-days</v>
          </cell>
          <cell r="BS1" t="str">
            <v>quantity-to-be-charged-ais-456-plus-days</v>
          </cell>
          <cell r="BT1" t="str">
            <v>estimated-ais-456-plus-days</v>
          </cell>
          <cell r="BU1" t="str">
            <v>historical-days-of-supply</v>
          </cell>
          <cell r="BV1" t="str">
            <v>Recommended ship-in quantity</v>
          </cell>
          <cell r="BW1" t="str">
            <v>Recommended ship-in date</v>
          </cell>
          <cell r="BX1" t="str">
            <v>Last updated date for Historical Days of Supply</v>
          </cell>
          <cell r="BY1" t="str">
            <v>Short term historical days of supply</v>
          </cell>
          <cell r="BZ1" t="str">
            <v>Long term historical days of supply</v>
          </cell>
          <cell r="CA1" t="str">
            <v>Inventory age snapshot date</v>
          </cell>
          <cell r="CB1" t="str">
            <v>Inventory Supply at FBA</v>
          </cell>
          <cell r="CC1" t="str">
            <v>Reserved FC Transfer</v>
          </cell>
          <cell r="CD1" t="str">
            <v>Reserved FC Processing</v>
          </cell>
          <cell r="CE1" t="str">
            <v>Reserved Customer Order</v>
          </cell>
          <cell r="CF1" t="str">
            <v>Reserved Staging</v>
          </cell>
          <cell r="CG1" t="str">
            <v>Total Days of Supply (including units from open shipments)</v>
          </cell>
          <cell r="CH1" t="str">
            <v>is-seasonal-in-next-3-months</v>
          </cell>
          <cell r="CI1" t="str">
            <v>season-name</v>
          </cell>
        </row>
        <row r="2">
          <cell r="A2" t="str">
            <v>X002GXFKRZ</v>
          </cell>
          <cell r="B2">
            <v>46185</v>
          </cell>
          <cell r="C2" t="str">
            <v>amzn.gr.UK_Moose_Lite_Standard-QrjW0c-LN</v>
          </cell>
          <cell r="D2" t="str">
            <v>X002GXFKRZ</v>
          </cell>
          <cell r="E2" t="str">
            <v>B0D2H8V3MT</v>
          </cell>
          <cell r="F2" t="str">
            <v>3DMakerpro Moose Lite 3D Scanner for 3D Modeling – Handheld scanner with 0.05 mm precision, Blue Light Technology, AI Tracking, Windows/macOS (Standard Package)</v>
          </cell>
          <cell r="G2" t="str">
            <v>Used</v>
          </cell>
          <cell r="H2">
            <v>2</v>
          </cell>
          <cell r="I2">
            <v>0</v>
          </cell>
          <cell r="J2">
            <v>0</v>
          </cell>
          <cell r="K2">
            <v>1</v>
          </cell>
          <cell r="L2">
            <v>1</v>
          </cell>
          <cell r="M2">
            <v>0</v>
          </cell>
          <cell r="N2">
            <v>0</v>
          </cell>
          <cell r="O2">
            <v>0</v>
          </cell>
          <cell r="P2" t="str">
            <v>GBP</v>
          </cell>
        </row>
        <row r="2">
          <cell r="U2" t="str">
            <v>Low conversion</v>
          </cell>
          <cell r="V2">
            <v>304.49</v>
          </cell>
          <cell r="W2">
            <v>0</v>
          </cell>
          <cell r="X2">
            <v>399.99</v>
          </cell>
          <cell r="Y2">
            <v>304.49</v>
          </cell>
          <cell r="Z2" t="str">
            <v>Lower price</v>
          </cell>
          <cell r="AA2">
            <v>0</v>
          </cell>
          <cell r="AB2">
            <v>243.59</v>
          </cell>
          <cell r="AC2">
            <v>9</v>
          </cell>
          <cell r="AD2">
            <v>0</v>
          </cell>
          <cell r="AE2">
            <v>48.08</v>
          </cell>
          <cell r="AF2">
            <v>0.19</v>
          </cell>
          <cell r="AG2">
            <v>0.061357</v>
          </cell>
          <cell r="AH2" t="str">
            <v>cubic feet</v>
          </cell>
          <cell r="AI2" t="str">
            <v>Standard</v>
          </cell>
          <cell r="AJ2">
            <v>0.122714</v>
          </cell>
          <cell r="AK2" t="str">
            <v>UK</v>
          </cell>
          <cell r="AL2" t="str">
            <v>gl_biss</v>
          </cell>
          <cell r="AM2">
            <v>43783</v>
          </cell>
          <cell r="AN2">
            <v>40</v>
          </cell>
          <cell r="AO2">
            <v>0</v>
          </cell>
        </row>
        <row r="2">
          <cell r="AR2">
            <v>399.99</v>
          </cell>
        </row>
        <row r="2">
          <cell r="AW2">
            <v>0</v>
          </cell>
          <cell r="AX2">
            <v>0</v>
          </cell>
          <cell r="AY2">
            <v>0</v>
          </cell>
          <cell r="AZ2">
            <v>1</v>
          </cell>
          <cell r="BA2">
            <v>0</v>
          </cell>
          <cell r="BB2">
            <v>0.38</v>
          </cell>
          <cell r="BC2">
            <v>0</v>
          </cell>
          <cell r="BD2">
            <v>0</v>
          </cell>
          <cell r="BE2">
            <v>0</v>
          </cell>
          <cell r="BF2">
            <v>0</v>
          </cell>
          <cell r="BG2">
            <v>0</v>
          </cell>
          <cell r="BH2">
            <v>0</v>
          </cell>
        </row>
        <row r="2">
          <cell r="BV2">
            <v>8</v>
          </cell>
          <cell r="BW2">
            <v>46180</v>
          </cell>
        </row>
        <row r="2">
          <cell r="CA2">
            <v>46183</v>
          </cell>
          <cell r="CB2">
            <v>2</v>
          </cell>
          <cell r="CC2">
            <v>0</v>
          </cell>
          <cell r="CD2">
            <v>0</v>
          </cell>
          <cell r="CE2">
            <v>0</v>
          </cell>
          <cell r="CF2">
            <v>0</v>
          </cell>
          <cell r="CG2">
            <v>40</v>
          </cell>
          <cell r="CH2" t="str">
            <v>N</v>
          </cell>
        </row>
        <row r="3">
          <cell r="A3" t="str">
            <v>X001T2CPTP</v>
          </cell>
          <cell r="B3">
            <v>46185</v>
          </cell>
          <cell r="C3" t="str">
            <v>mole-s</v>
          </cell>
          <cell r="D3" t="str">
            <v>X001T2CPTP</v>
          </cell>
          <cell r="E3" t="str">
            <v>B0C9CGP4X5</v>
          </cell>
          <cell r="F3" t="str">
            <v>3D Scanner for 3D Printing, 0.05mm Accuracy 10FPS Scan Speed 3D Scanner for Face and Body Scanning Desktop and Handheld Fixed/Auto Scan Mode, [Mole Standard Package] 3DMakerpro</v>
          </cell>
          <cell r="G3" t="str">
            <v>New</v>
          </cell>
          <cell r="H3">
            <v>21</v>
          </cell>
          <cell r="I3">
            <v>0</v>
          </cell>
          <cell r="J3">
            <v>0</v>
          </cell>
          <cell r="K3">
            <v>0</v>
          </cell>
          <cell r="L3">
            <v>0</v>
          </cell>
          <cell r="M3">
            <v>0</v>
          </cell>
          <cell r="N3">
            <v>0</v>
          </cell>
          <cell r="O3">
            <v>21</v>
          </cell>
          <cell r="P3" t="str">
            <v>GBP</v>
          </cell>
          <cell r="Q3">
            <v>0</v>
          </cell>
          <cell r="R3">
            <v>0</v>
          </cell>
          <cell r="S3">
            <v>0</v>
          </cell>
          <cell r="T3">
            <v>0</v>
          </cell>
          <cell r="U3" t="str">
            <v>Low traffic</v>
          </cell>
          <cell r="V3">
            <v>699.99</v>
          </cell>
          <cell r="W3">
            <v>0</v>
          </cell>
          <cell r="X3">
            <v>699.99</v>
          </cell>
          <cell r="Y3">
            <v>0</v>
          </cell>
          <cell r="Z3" t="str">
            <v>Create removal order</v>
          </cell>
          <cell r="AA3">
            <v>0</v>
          </cell>
          <cell r="AB3">
            <v>502.54</v>
          </cell>
          <cell r="AC3">
            <v>52</v>
          </cell>
          <cell r="AD3">
            <v>0</v>
          </cell>
          <cell r="AE3">
            <v>10274.38</v>
          </cell>
          <cell r="AF3">
            <v>0</v>
          </cell>
          <cell r="AG3">
            <v>0.407829</v>
          </cell>
          <cell r="AH3" t="str">
            <v>cubic feet</v>
          </cell>
          <cell r="AI3" t="str">
            <v>Standard</v>
          </cell>
          <cell r="AJ3">
            <v>8.564409</v>
          </cell>
          <cell r="AK3" t="str">
            <v>UK</v>
          </cell>
          <cell r="AL3" t="str">
            <v>gl_biss</v>
          </cell>
          <cell r="AM3">
            <v>203146</v>
          </cell>
          <cell r="AN3">
            <v>366</v>
          </cell>
          <cell r="AO3">
            <v>21</v>
          </cell>
        </row>
        <row r="3">
          <cell r="AR3">
            <v>699.99</v>
          </cell>
          <cell r="AS3">
            <v>0</v>
          </cell>
          <cell r="AT3">
            <v>0</v>
          </cell>
          <cell r="AU3">
            <v>0</v>
          </cell>
          <cell r="AV3">
            <v>0</v>
          </cell>
          <cell r="AW3">
            <v>0</v>
          </cell>
          <cell r="AX3">
            <v>0</v>
          </cell>
          <cell r="AY3">
            <v>0</v>
          </cell>
          <cell r="AZ3">
            <v>0</v>
          </cell>
          <cell r="BA3">
            <v>0</v>
          </cell>
          <cell r="BB3">
            <v>76.52</v>
          </cell>
          <cell r="BC3">
            <v>0</v>
          </cell>
          <cell r="BD3">
            <v>0</v>
          </cell>
          <cell r="BE3">
            <v>0</v>
          </cell>
          <cell r="BF3">
            <v>0</v>
          </cell>
          <cell r="BG3">
            <v>0</v>
          </cell>
          <cell r="BH3">
            <v>0</v>
          </cell>
          <cell r="BI3">
            <v>0</v>
          </cell>
          <cell r="BJ3">
            <v>0</v>
          </cell>
          <cell r="BK3">
            <v>0</v>
          </cell>
          <cell r="BL3">
            <v>0</v>
          </cell>
          <cell r="BM3">
            <v>0</v>
          </cell>
          <cell r="BN3">
            <v>0</v>
          </cell>
          <cell r="BO3">
            <v>0</v>
          </cell>
          <cell r="BP3">
            <v>0</v>
          </cell>
          <cell r="BQ3">
            <v>0</v>
          </cell>
          <cell r="BR3">
            <v>0</v>
          </cell>
          <cell r="BS3">
            <v>21</v>
          </cell>
          <cell r="BT3">
            <v>52.58</v>
          </cell>
        </row>
        <row r="3">
          <cell r="BV3">
            <v>0</v>
          </cell>
        </row>
        <row r="3">
          <cell r="CA3">
            <v>46183</v>
          </cell>
          <cell r="CB3">
            <v>21</v>
          </cell>
          <cell r="CC3">
            <v>0</v>
          </cell>
          <cell r="CD3">
            <v>0</v>
          </cell>
          <cell r="CE3">
            <v>0</v>
          </cell>
          <cell r="CF3">
            <v>0</v>
          </cell>
          <cell r="CG3">
            <v>366</v>
          </cell>
          <cell r="CH3" t="str">
            <v>N</v>
          </cell>
        </row>
        <row r="4">
          <cell r="A4" t="str">
            <v>X002HPC2AP</v>
          </cell>
          <cell r="B4">
            <v>46185</v>
          </cell>
          <cell r="C4" t="str">
            <v>amzn.gr.UK_Moose_Lite_Premium-Yoro5P2-LN</v>
          </cell>
          <cell r="D4" t="str">
            <v>X002HPC2AP</v>
          </cell>
          <cell r="E4" t="str">
            <v>B0D2HGCT9Y</v>
          </cell>
          <cell r="F4" t="str">
            <v>3DMakerpro Moose Lite 3D Scanner for 3D Modeling &amp; Reverse Engineering – Premium (with Turntable &amp; Tripod), 0.05 mm accuracy, Blue Light, AI Tracking, Windows/macOS</v>
          </cell>
          <cell r="G4" t="str">
            <v>Used</v>
          </cell>
          <cell r="H4">
            <v>1</v>
          </cell>
          <cell r="I4">
            <v>0</v>
          </cell>
          <cell r="J4">
            <v>0</v>
          </cell>
          <cell r="K4">
            <v>1</v>
          </cell>
          <cell r="L4">
            <v>0</v>
          </cell>
          <cell r="M4">
            <v>0</v>
          </cell>
          <cell r="N4">
            <v>0</v>
          </cell>
          <cell r="O4">
            <v>0</v>
          </cell>
          <cell r="P4" t="str">
            <v>GBP</v>
          </cell>
        </row>
        <row r="4">
          <cell r="U4" t="str">
            <v>Low conversion</v>
          </cell>
          <cell r="V4">
            <v>371.99</v>
          </cell>
          <cell r="W4">
            <v>0</v>
          </cell>
          <cell r="X4">
            <v>429.99</v>
          </cell>
          <cell r="Y4">
            <v>371.99</v>
          </cell>
          <cell r="Z4" t="str">
            <v>Lower price</v>
          </cell>
          <cell r="AA4">
            <v>0</v>
          </cell>
          <cell r="AB4">
            <v>297.59</v>
          </cell>
          <cell r="AC4">
            <v>9</v>
          </cell>
          <cell r="AD4">
            <v>0</v>
          </cell>
          <cell r="AE4">
            <v>67.15</v>
          </cell>
          <cell r="AF4">
            <v>0.16</v>
          </cell>
          <cell r="AG4">
            <v>0.247909</v>
          </cell>
          <cell r="AH4" t="str">
            <v>cubic feet</v>
          </cell>
          <cell r="AI4" t="str">
            <v>Standard</v>
          </cell>
          <cell r="AJ4">
            <v>0.247909</v>
          </cell>
          <cell r="AK4" t="str">
            <v>UK</v>
          </cell>
          <cell r="AL4" t="str">
            <v>gl_biss</v>
          </cell>
          <cell r="AM4">
            <v>43783</v>
          </cell>
          <cell r="AN4">
            <v>22</v>
          </cell>
          <cell r="AO4">
            <v>0</v>
          </cell>
        </row>
        <row r="4">
          <cell r="AR4">
            <v>429.99</v>
          </cell>
        </row>
        <row r="4">
          <cell r="AW4">
            <v>0</v>
          </cell>
          <cell r="AX4">
            <v>0</v>
          </cell>
          <cell r="AY4">
            <v>0</v>
          </cell>
          <cell r="AZ4">
            <v>0</v>
          </cell>
          <cell r="BA4">
            <v>0</v>
          </cell>
          <cell r="BB4">
            <v>0.69</v>
          </cell>
          <cell r="BC4">
            <v>0</v>
          </cell>
          <cell r="BD4">
            <v>0</v>
          </cell>
          <cell r="BE4">
            <v>0</v>
          </cell>
          <cell r="BF4">
            <v>0</v>
          </cell>
          <cell r="BG4">
            <v>0</v>
          </cell>
          <cell r="BH4">
            <v>0</v>
          </cell>
        </row>
        <row r="4">
          <cell r="BV4">
            <v>4</v>
          </cell>
          <cell r="BW4">
            <v>46182</v>
          </cell>
        </row>
        <row r="4">
          <cell r="CA4">
            <v>46183</v>
          </cell>
          <cell r="CB4">
            <v>1</v>
          </cell>
          <cell r="CC4">
            <v>0</v>
          </cell>
          <cell r="CD4">
            <v>0</v>
          </cell>
          <cell r="CE4">
            <v>0</v>
          </cell>
          <cell r="CF4">
            <v>0</v>
          </cell>
          <cell r="CG4">
            <v>22</v>
          </cell>
          <cell r="CH4" t="str">
            <v>N</v>
          </cell>
        </row>
        <row r="5">
          <cell r="A5" t="str">
            <v>X0025X13BN</v>
          </cell>
          <cell r="B5">
            <v>46185</v>
          </cell>
          <cell r="C5" t="str">
            <v>t-01</v>
          </cell>
          <cell r="D5" t="str">
            <v>X0025X13BN</v>
          </cell>
          <cell r="E5" t="str">
            <v>B0CK126CK7</v>
          </cell>
          <cell r="F5" t="str">
            <v>3DMakerpro Turntable for 3D Scanner Seal Mole &amp; Seal Lite</v>
          </cell>
          <cell r="G5" t="str">
            <v>New</v>
          </cell>
          <cell r="H5">
            <v>22</v>
          </cell>
          <cell r="I5">
            <v>0</v>
          </cell>
          <cell r="J5">
            <v>22</v>
          </cell>
          <cell r="K5">
            <v>0</v>
          </cell>
          <cell r="L5">
            <v>0</v>
          </cell>
          <cell r="M5">
            <v>0</v>
          </cell>
          <cell r="N5">
            <v>0</v>
          </cell>
          <cell r="O5">
            <v>0</v>
          </cell>
          <cell r="P5" t="str">
            <v>GBP</v>
          </cell>
          <cell r="Q5">
            <v>1</v>
          </cell>
          <cell r="R5">
            <v>2</v>
          </cell>
          <cell r="S5">
            <v>2</v>
          </cell>
          <cell r="T5">
            <v>2</v>
          </cell>
          <cell r="U5" t="str">
            <v>Low traffic</v>
          </cell>
          <cell r="V5">
            <v>29.99</v>
          </cell>
          <cell r="W5">
            <v>0</v>
          </cell>
          <cell r="X5">
            <v>29.99</v>
          </cell>
          <cell r="Y5">
            <v>0</v>
          </cell>
          <cell r="Z5" t="str">
            <v>Advertise listing</v>
          </cell>
          <cell r="AA5">
            <v>0</v>
          </cell>
          <cell r="AB5">
            <v>0</v>
          </cell>
          <cell r="AC5">
            <v>0</v>
          </cell>
          <cell r="AD5">
            <v>0</v>
          </cell>
          <cell r="AE5">
            <v>1149.03</v>
          </cell>
          <cell r="AF5">
            <v>0.17</v>
          </cell>
          <cell r="AG5">
            <v>0.172053</v>
          </cell>
          <cell r="AH5" t="str">
            <v>cubic feet</v>
          </cell>
          <cell r="AI5" t="str">
            <v>Standard</v>
          </cell>
          <cell r="AJ5">
            <v>3.785166</v>
          </cell>
          <cell r="AK5" t="str">
            <v>UK</v>
          </cell>
          <cell r="AL5" t="str">
            <v>gl_biss</v>
          </cell>
          <cell r="AM5">
            <v>41662</v>
          </cell>
          <cell r="AN5">
            <v>366</v>
          </cell>
          <cell r="AO5">
            <v>0</v>
          </cell>
          <cell r="AP5">
            <v>44</v>
          </cell>
          <cell r="AQ5">
            <v>143</v>
          </cell>
          <cell r="AR5">
            <v>29.99</v>
          </cell>
          <cell r="AS5">
            <v>24.99</v>
          </cell>
          <cell r="AT5">
            <v>49.98</v>
          </cell>
          <cell r="AU5">
            <v>49.98</v>
          </cell>
          <cell r="AV5">
            <v>49.98</v>
          </cell>
          <cell r="AW5">
            <v>0</v>
          </cell>
          <cell r="AX5">
            <v>22</v>
          </cell>
          <cell r="AY5">
            <v>0</v>
          </cell>
          <cell r="AZ5">
            <v>0</v>
          </cell>
          <cell r="BA5">
            <v>0</v>
          </cell>
          <cell r="BB5">
            <v>10.58</v>
          </cell>
          <cell r="BC5">
            <v>0</v>
          </cell>
          <cell r="BD5">
            <v>0</v>
          </cell>
          <cell r="BE5">
            <v>0</v>
          </cell>
          <cell r="BF5">
            <v>0</v>
          </cell>
          <cell r="BG5">
            <v>0</v>
          </cell>
          <cell r="BH5">
            <v>0</v>
          </cell>
        </row>
        <row r="5">
          <cell r="BU5">
            <v>380</v>
          </cell>
          <cell r="BV5">
            <v>0</v>
          </cell>
        </row>
        <row r="5">
          <cell r="BX5">
            <v>46180</v>
          </cell>
          <cell r="BY5">
            <v>356</v>
          </cell>
          <cell r="BZ5">
            <v>380</v>
          </cell>
          <cell r="CA5">
            <v>46183</v>
          </cell>
          <cell r="CB5">
            <v>22</v>
          </cell>
          <cell r="CC5">
            <v>0</v>
          </cell>
          <cell r="CD5">
            <v>0</v>
          </cell>
          <cell r="CE5">
            <v>0</v>
          </cell>
          <cell r="CF5">
            <v>0</v>
          </cell>
          <cell r="CG5">
            <v>366</v>
          </cell>
          <cell r="CH5" t="str">
            <v>N</v>
          </cell>
        </row>
        <row r="6">
          <cell r="A6" t="str">
            <v>X00286HS9X</v>
          </cell>
          <cell r="B6">
            <v>46185</v>
          </cell>
          <cell r="C6" t="str">
            <v>amzn.gr.UK_Moose_Lite_Standard-rkTzSS-LN</v>
          </cell>
          <cell r="D6" t="str">
            <v>X00286HS9X</v>
          </cell>
          <cell r="E6" t="str">
            <v>B0D2H8V3MT</v>
          </cell>
          <cell r="F6" t="str">
            <v>3DMakerpro Moose Lite 3D Scanner for 3D Modeling – Handheld scanner with 0.05 mm precision, Blue Light Technology, AI Tracking, Windows/macOS (Standard Package)</v>
          </cell>
          <cell r="G6" t="str">
            <v>Used</v>
          </cell>
          <cell r="H6">
            <v>1</v>
          </cell>
          <cell r="I6">
            <v>0</v>
          </cell>
          <cell r="J6">
            <v>0</v>
          </cell>
          <cell r="K6">
            <v>0</v>
          </cell>
          <cell r="L6">
            <v>1</v>
          </cell>
          <cell r="M6">
            <v>0</v>
          </cell>
          <cell r="N6">
            <v>0</v>
          </cell>
          <cell r="O6">
            <v>0</v>
          </cell>
          <cell r="P6" t="str">
            <v>GBP</v>
          </cell>
          <cell r="Q6">
            <v>0</v>
          </cell>
          <cell r="R6">
            <v>1</v>
          </cell>
          <cell r="S6">
            <v>1</v>
          </cell>
          <cell r="T6">
            <v>1</v>
          </cell>
        </row>
        <row r="6">
          <cell r="V6">
            <v>304.49</v>
          </cell>
          <cell r="W6">
            <v>0</v>
          </cell>
          <cell r="X6">
            <v>399.99</v>
          </cell>
          <cell r="Y6">
            <v>304.49</v>
          </cell>
          <cell r="Z6" t="str">
            <v>NoRestockExcessActionRequired</v>
          </cell>
          <cell r="AA6">
            <v>1</v>
          </cell>
          <cell r="AB6">
            <v>0</v>
          </cell>
          <cell r="AC6">
            <v>0</v>
          </cell>
          <cell r="AD6">
            <v>0</v>
          </cell>
          <cell r="AE6">
            <v>24.79</v>
          </cell>
          <cell r="AF6">
            <v>0.19</v>
          </cell>
          <cell r="AG6">
            <v>0.061357</v>
          </cell>
          <cell r="AH6" t="str">
            <v>cubic feet</v>
          </cell>
          <cell r="AI6" t="str">
            <v>Standard</v>
          </cell>
          <cell r="AJ6">
            <v>0.061357</v>
          </cell>
          <cell r="AK6" t="str">
            <v>UK</v>
          </cell>
          <cell r="AL6" t="str">
            <v>gl_biss</v>
          </cell>
          <cell r="AM6">
            <v>43783</v>
          </cell>
          <cell r="AN6">
            <v>19</v>
          </cell>
          <cell r="AO6">
            <v>0</v>
          </cell>
          <cell r="AP6">
            <v>4</v>
          </cell>
          <cell r="AQ6">
            <v>13</v>
          </cell>
          <cell r="AR6">
            <v>399.99</v>
          </cell>
          <cell r="AS6">
            <v>0</v>
          </cell>
          <cell r="AT6">
            <v>202.5</v>
          </cell>
          <cell r="AU6">
            <v>202.5</v>
          </cell>
          <cell r="AV6">
            <v>202.5</v>
          </cell>
          <cell r="AW6">
            <v>0</v>
          </cell>
          <cell r="AX6">
            <v>0</v>
          </cell>
          <cell r="AY6">
            <v>0</v>
          </cell>
          <cell r="AZ6">
            <v>1</v>
          </cell>
          <cell r="BA6">
            <v>0</v>
          </cell>
          <cell r="BB6">
            <v>0.29</v>
          </cell>
          <cell r="BC6">
            <v>0</v>
          </cell>
          <cell r="BD6">
            <v>0</v>
          </cell>
          <cell r="BE6">
            <v>0</v>
          </cell>
          <cell r="BF6">
            <v>0</v>
          </cell>
          <cell r="BG6">
            <v>0</v>
          </cell>
          <cell r="BH6">
            <v>0</v>
          </cell>
        </row>
        <row r="6">
          <cell r="BU6">
            <v>160</v>
          </cell>
          <cell r="BV6">
            <v>11</v>
          </cell>
          <cell r="BW6">
            <v>46184</v>
          </cell>
          <cell r="BX6">
            <v>46180</v>
          </cell>
          <cell r="BY6">
            <v>40</v>
          </cell>
          <cell r="BZ6">
            <v>160</v>
          </cell>
          <cell r="CA6">
            <v>46183</v>
          </cell>
          <cell r="CB6">
            <v>1</v>
          </cell>
          <cell r="CC6">
            <v>0</v>
          </cell>
          <cell r="CD6">
            <v>0</v>
          </cell>
          <cell r="CE6">
            <v>0</v>
          </cell>
          <cell r="CF6">
            <v>0</v>
          </cell>
          <cell r="CG6">
            <v>19</v>
          </cell>
          <cell r="CH6" t="str">
            <v>N</v>
          </cell>
        </row>
        <row r="7">
          <cell r="A7" t="str">
            <v>X001VVA0WD</v>
          </cell>
          <cell r="B7">
            <v>46185</v>
          </cell>
          <cell r="C7" t="str">
            <v>seal-p</v>
          </cell>
          <cell r="D7" t="str">
            <v>X001VVA0WD</v>
          </cell>
          <cell r="E7" t="str">
            <v>B0CKSFLKL7</v>
          </cell>
          <cell r="F7" t="str">
            <v>Handheld 3D Scanner for 3D Printing, 24-bit Color Camera, Anti-Shake Optical Lenses, 0.01mm Accuracy and 10FPS Scanning Speed, Handheld 3D Model Scanner- [Seal Premium Package] 3DMakerpro</v>
          </cell>
          <cell r="G7" t="str">
            <v>New</v>
          </cell>
          <cell r="H7">
            <v>21</v>
          </cell>
          <cell r="I7">
            <v>0</v>
          </cell>
          <cell r="J7">
            <v>0</v>
          </cell>
          <cell r="K7">
            <v>0</v>
          </cell>
          <cell r="L7">
            <v>0</v>
          </cell>
          <cell r="M7">
            <v>0</v>
          </cell>
          <cell r="N7">
            <v>0</v>
          </cell>
          <cell r="O7">
            <v>33</v>
          </cell>
          <cell r="P7" t="str">
            <v>GBP</v>
          </cell>
          <cell r="Q7">
            <v>0</v>
          </cell>
          <cell r="R7">
            <v>0</v>
          </cell>
          <cell r="S7">
            <v>0</v>
          </cell>
          <cell r="T7">
            <v>0</v>
          </cell>
          <cell r="U7" t="str">
            <v>Low traffic</v>
          </cell>
          <cell r="V7">
            <v>879.99</v>
          </cell>
          <cell r="W7">
            <v>699.99</v>
          </cell>
          <cell r="X7">
            <v>699.99</v>
          </cell>
          <cell r="Y7">
            <v>659.99</v>
          </cell>
          <cell r="Z7" t="str">
            <v>Create removal order</v>
          </cell>
          <cell r="AA7">
            <v>0</v>
          </cell>
          <cell r="AB7">
            <v>0</v>
          </cell>
          <cell r="AC7">
            <v>0</v>
          </cell>
          <cell r="AD7">
            <v>0</v>
          </cell>
          <cell r="AE7">
            <v>8790.23</v>
          </cell>
          <cell r="AF7">
            <v>0</v>
          </cell>
          <cell r="AG7">
            <v>0.516477</v>
          </cell>
          <cell r="AH7" t="str">
            <v>cubic feet</v>
          </cell>
          <cell r="AI7" t="str">
            <v>Standard</v>
          </cell>
          <cell r="AJ7">
            <v>10.846017</v>
          </cell>
          <cell r="AK7" t="str">
            <v>UK</v>
          </cell>
          <cell r="AL7" t="str">
            <v>gl_biss</v>
          </cell>
          <cell r="AM7">
            <v>158357</v>
          </cell>
          <cell r="AN7">
            <v>366</v>
          </cell>
          <cell r="AO7">
            <v>21</v>
          </cell>
        </row>
        <row r="7">
          <cell r="AR7">
            <v>699.99</v>
          </cell>
          <cell r="AS7">
            <v>0</v>
          </cell>
          <cell r="AT7">
            <v>0</v>
          </cell>
          <cell r="AU7">
            <v>0</v>
          </cell>
          <cell r="AV7">
            <v>0</v>
          </cell>
          <cell r="AW7">
            <v>0</v>
          </cell>
          <cell r="AX7">
            <v>0</v>
          </cell>
          <cell r="AY7">
            <v>0</v>
          </cell>
          <cell r="AZ7">
            <v>0</v>
          </cell>
          <cell r="BA7">
            <v>0</v>
          </cell>
          <cell r="BB7">
            <v>152.28</v>
          </cell>
          <cell r="BC7">
            <v>0</v>
          </cell>
          <cell r="BD7">
            <v>0</v>
          </cell>
          <cell r="BE7">
            <v>0</v>
          </cell>
          <cell r="BF7">
            <v>0</v>
          </cell>
          <cell r="BG7">
            <v>12</v>
          </cell>
          <cell r="BH7">
            <v>0</v>
          </cell>
          <cell r="BI7">
            <v>0</v>
          </cell>
          <cell r="BJ7">
            <v>0</v>
          </cell>
          <cell r="BK7">
            <v>0</v>
          </cell>
          <cell r="BL7">
            <v>0</v>
          </cell>
          <cell r="BM7">
            <v>0</v>
          </cell>
          <cell r="BN7">
            <v>0</v>
          </cell>
          <cell r="BO7">
            <v>0</v>
          </cell>
          <cell r="BP7">
            <v>0</v>
          </cell>
          <cell r="BQ7">
            <v>0</v>
          </cell>
          <cell r="BR7">
            <v>0</v>
          </cell>
          <cell r="BS7">
            <v>33</v>
          </cell>
          <cell r="BT7">
            <v>104.64</v>
          </cell>
        </row>
        <row r="7">
          <cell r="BV7">
            <v>0</v>
          </cell>
        </row>
        <row r="7">
          <cell r="CA7">
            <v>46183</v>
          </cell>
          <cell r="CB7">
            <v>21</v>
          </cell>
          <cell r="CC7">
            <v>0</v>
          </cell>
          <cell r="CD7">
            <v>0</v>
          </cell>
          <cell r="CE7">
            <v>0</v>
          </cell>
          <cell r="CF7">
            <v>12</v>
          </cell>
          <cell r="CG7">
            <v>366</v>
          </cell>
          <cell r="CH7" t="str">
            <v>N</v>
          </cell>
        </row>
        <row r="8">
          <cell r="A8" t="str">
            <v>X0028SKI8T</v>
          </cell>
          <cell r="B8">
            <v>46185</v>
          </cell>
          <cell r="C8" t="str">
            <v>amzn.gr.seal-p-xIOwvQJJ10SMiOTQ1Q6IlQ-LN</v>
          </cell>
          <cell r="D8" t="str">
            <v>X0028SKI8T</v>
          </cell>
          <cell r="E8" t="str">
            <v>B0CKSFLKL7</v>
          </cell>
          <cell r="F8" t="str">
            <v>Handheld 3D Scanner for 3D Printing, 24-bit Color Camera, Anti-Shake Optical Lenses, 0.01mm Accuracy and 10FPS Scanning Speed, Handheld 3D Model Scanner- [Seal Premium Package] 3DMakerpro</v>
          </cell>
          <cell r="G8" t="str">
            <v>Used</v>
          </cell>
          <cell r="H8">
            <v>1</v>
          </cell>
          <cell r="I8">
            <v>0</v>
          </cell>
          <cell r="J8">
            <v>0</v>
          </cell>
          <cell r="K8">
            <v>0</v>
          </cell>
          <cell r="L8">
            <v>1</v>
          </cell>
          <cell r="M8">
            <v>0</v>
          </cell>
          <cell r="N8">
            <v>0</v>
          </cell>
          <cell r="O8">
            <v>0</v>
          </cell>
          <cell r="P8" t="str">
            <v>GBP</v>
          </cell>
          <cell r="Q8">
            <v>0</v>
          </cell>
          <cell r="R8">
            <v>0</v>
          </cell>
          <cell r="S8">
            <v>0</v>
          </cell>
          <cell r="T8">
            <v>0</v>
          </cell>
          <cell r="U8" t="str">
            <v>Low traffic</v>
          </cell>
          <cell r="V8">
            <v>659.99</v>
          </cell>
          <cell r="W8">
            <v>0</v>
          </cell>
          <cell r="X8">
            <v>699.99</v>
          </cell>
          <cell r="Y8">
            <v>659.99</v>
          </cell>
          <cell r="Z8" t="str">
            <v>Create removal order</v>
          </cell>
          <cell r="AA8">
            <v>1</v>
          </cell>
          <cell r="AB8">
            <v>0</v>
          </cell>
          <cell r="AC8">
            <v>0</v>
          </cell>
          <cell r="AD8">
            <v>0</v>
          </cell>
          <cell r="AE8">
            <v>146.31</v>
          </cell>
          <cell r="AF8">
            <v>0</v>
          </cell>
          <cell r="AG8">
            <v>0.516477</v>
          </cell>
          <cell r="AH8" t="str">
            <v>cubic feet</v>
          </cell>
          <cell r="AI8" t="str">
            <v>Standard</v>
          </cell>
          <cell r="AJ8">
            <v>0.516477</v>
          </cell>
          <cell r="AK8" t="str">
            <v>UK</v>
          </cell>
          <cell r="AL8" t="str">
            <v>gl_biss</v>
          </cell>
          <cell r="AM8">
            <v>158357</v>
          </cell>
          <cell r="AN8">
            <v>366</v>
          </cell>
          <cell r="AO8">
            <v>0</v>
          </cell>
        </row>
        <row r="8">
          <cell r="AR8">
            <v>699.99</v>
          </cell>
          <cell r="AS8">
            <v>0</v>
          </cell>
          <cell r="AT8">
            <v>0</v>
          </cell>
          <cell r="AU8">
            <v>0</v>
          </cell>
          <cell r="AV8">
            <v>0</v>
          </cell>
          <cell r="AW8">
            <v>0</v>
          </cell>
          <cell r="AX8">
            <v>0</v>
          </cell>
          <cell r="AY8">
            <v>0</v>
          </cell>
          <cell r="AZ8">
            <v>1</v>
          </cell>
          <cell r="BA8">
            <v>0</v>
          </cell>
          <cell r="BB8">
            <v>2.05</v>
          </cell>
          <cell r="BC8">
            <v>0</v>
          </cell>
          <cell r="BD8">
            <v>0</v>
          </cell>
          <cell r="BE8">
            <v>0</v>
          </cell>
          <cell r="BF8">
            <v>0</v>
          </cell>
          <cell r="BG8">
            <v>0</v>
          </cell>
          <cell r="BH8">
            <v>0</v>
          </cell>
          <cell r="BI8">
            <v>1</v>
          </cell>
          <cell r="BJ8">
            <v>0.61</v>
          </cell>
          <cell r="BK8">
            <v>0</v>
          </cell>
          <cell r="BL8">
            <v>0</v>
          </cell>
          <cell r="BM8">
            <v>0</v>
          </cell>
          <cell r="BN8">
            <v>0</v>
          </cell>
          <cell r="BO8">
            <v>0</v>
          </cell>
          <cell r="BP8">
            <v>0</v>
          </cell>
          <cell r="BQ8">
            <v>0</v>
          </cell>
          <cell r="BR8">
            <v>0</v>
          </cell>
          <cell r="BS8">
            <v>0</v>
          </cell>
          <cell r="BT8">
            <v>0</v>
          </cell>
        </row>
        <row r="8">
          <cell r="BV8">
            <v>0</v>
          </cell>
        </row>
        <row r="8">
          <cell r="CA8">
            <v>46183</v>
          </cell>
          <cell r="CB8">
            <v>1</v>
          </cell>
          <cell r="CC8">
            <v>0</v>
          </cell>
          <cell r="CD8">
            <v>0</v>
          </cell>
          <cell r="CE8">
            <v>0</v>
          </cell>
          <cell r="CF8">
            <v>0</v>
          </cell>
          <cell r="CG8">
            <v>366</v>
          </cell>
          <cell r="CH8" t="str">
            <v>N</v>
          </cell>
        </row>
        <row r="9">
          <cell r="A9" t="str">
            <v>X0020GS5LL</v>
          </cell>
          <cell r="B9">
            <v>46185</v>
          </cell>
          <cell r="C9" t="str">
            <v>UK Moose Premium</v>
          </cell>
          <cell r="D9" t="str">
            <v>X0020GS5LL</v>
          </cell>
          <cell r="E9" t="str">
            <v>B0D2HNDX5W</v>
          </cell>
          <cell r="F9" t="str">
            <v>3DMakerpro Scanner Moose Premium Kit for Color &amp; Geometry Scans, with Turntable &amp; Tripod, 24-bit Color, 0.03 mm Precision, Blue Light Technology, AI Tracking, Windows/macOS</v>
          </cell>
          <cell r="G9" t="str">
            <v>New</v>
          </cell>
          <cell r="H9">
            <v>32</v>
          </cell>
          <cell r="I9">
            <v>0</v>
          </cell>
          <cell r="J9">
            <v>0</v>
          </cell>
          <cell r="K9">
            <v>0</v>
          </cell>
          <cell r="L9">
            <v>0</v>
          </cell>
          <cell r="M9">
            <v>0</v>
          </cell>
          <cell r="N9">
            <v>0</v>
          </cell>
          <cell r="O9">
            <v>32</v>
          </cell>
          <cell r="P9" t="str">
            <v>GBP</v>
          </cell>
        </row>
        <row r="9">
          <cell r="U9" t="str">
            <v>Low traffic</v>
          </cell>
          <cell r="V9">
            <v>879.99</v>
          </cell>
          <cell r="W9">
            <v>639.99</v>
          </cell>
          <cell r="X9">
            <v>639.99</v>
          </cell>
          <cell r="Y9">
            <v>0</v>
          </cell>
          <cell r="Z9" t="str">
            <v>Create removal order</v>
          </cell>
          <cell r="AA9">
            <v>0</v>
          </cell>
          <cell r="AB9">
            <v>0</v>
          </cell>
          <cell r="AC9">
            <v>0</v>
          </cell>
          <cell r="AD9">
            <v>0</v>
          </cell>
          <cell r="AE9">
            <v>16927</v>
          </cell>
          <cell r="AF9">
            <v>0</v>
          </cell>
          <cell r="AG9">
            <v>0.247909</v>
          </cell>
          <cell r="AH9" t="str">
            <v>cubic feet</v>
          </cell>
        </row>
        <row r="9">
          <cell r="AJ9">
            <v>7.933088</v>
          </cell>
          <cell r="AK9" t="str">
            <v>UK</v>
          </cell>
          <cell r="AL9" t="str">
            <v>gl_biss</v>
          </cell>
          <cell r="AM9">
            <v>165569</v>
          </cell>
          <cell r="AN9">
            <v>366</v>
          </cell>
          <cell r="AO9">
            <v>32</v>
          </cell>
        </row>
        <row r="9">
          <cell r="AR9">
            <v>639.99</v>
          </cell>
        </row>
        <row r="9">
          <cell r="AW9">
            <v>0</v>
          </cell>
          <cell r="AX9">
            <v>0</v>
          </cell>
          <cell r="AY9">
            <v>0</v>
          </cell>
          <cell r="AZ9">
            <v>0</v>
          </cell>
          <cell r="BA9">
            <v>0</v>
          </cell>
          <cell r="BB9">
            <v>70.88</v>
          </cell>
          <cell r="BC9">
            <v>0</v>
          </cell>
          <cell r="BD9">
            <v>0</v>
          </cell>
          <cell r="BE9">
            <v>0</v>
          </cell>
          <cell r="BF9">
            <v>0</v>
          </cell>
          <cell r="BG9">
            <v>0</v>
          </cell>
          <cell r="BH9">
            <v>0</v>
          </cell>
          <cell r="BI9">
            <v>0</v>
          </cell>
          <cell r="BJ9">
            <v>0</v>
          </cell>
          <cell r="BK9">
            <v>0</v>
          </cell>
          <cell r="BL9">
            <v>0</v>
          </cell>
          <cell r="BM9">
            <v>0</v>
          </cell>
          <cell r="BN9">
            <v>0</v>
          </cell>
          <cell r="BO9">
            <v>0</v>
          </cell>
          <cell r="BP9">
            <v>0</v>
          </cell>
          <cell r="BQ9">
            <v>0</v>
          </cell>
          <cell r="BR9">
            <v>0</v>
          </cell>
          <cell r="BS9">
            <v>32</v>
          </cell>
          <cell r="BT9">
            <v>48.7</v>
          </cell>
        </row>
        <row r="9">
          <cell r="BV9">
            <v>0</v>
          </cell>
        </row>
        <row r="9">
          <cell r="CA9">
            <v>46183</v>
          </cell>
          <cell r="CB9">
            <v>32</v>
          </cell>
          <cell r="CC9">
            <v>0</v>
          </cell>
          <cell r="CD9">
            <v>0</v>
          </cell>
          <cell r="CE9">
            <v>0</v>
          </cell>
          <cell r="CF9">
            <v>0</v>
          </cell>
          <cell r="CG9">
            <v>366</v>
          </cell>
          <cell r="CH9" t="str">
            <v>N</v>
          </cell>
        </row>
        <row r="10">
          <cell r="A10" t="str">
            <v>X0024H4S9T</v>
          </cell>
          <cell r="B10">
            <v>46185</v>
          </cell>
          <cell r="C10" t="str">
            <v>UK Seal Lite Premium</v>
          </cell>
          <cell r="D10" t="str">
            <v>X0024H4S9T</v>
          </cell>
          <cell r="E10" t="str">
            <v>B0DG5PGKX8</v>
          </cell>
          <cell r="F10" t="str">
            <v>Handheld 3D Scanner for 3D Printer, 10FPS Fast Scanning Speed with Anti-Shake Lense and 0.02mm Precision on Windows/MacOS, 3DMakerpro Seal Lite [Premium Kit]</v>
          </cell>
          <cell r="G10" t="str">
            <v>New</v>
          </cell>
          <cell r="H10">
            <v>64</v>
          </cell>
          <cell r="I10">
            <v>0</v>
          </cell>
          <cell r="J10">
            <v>60</v>
          </cell>
          <cell r="K10">
            <v>0</v>
          </cell>
          <cell r="L10">
            <v>0</v>
          </cell>
          <cell r="M10">
            <v>0</v>
          </cell>
          <cell r="N10">
            <v>0</v>
          </cell>
          <cell r="O10">
            <v>10</v>
          </cell>
          <cell r="P10" t="str">
            <v>GBP</v>
          </cell>
          <cell r="Q10">
            <v>0</v>
          </cell>
          <cell r="R10">
            <v>0</v>
          </cell>
          <cell r="S10">
            <v>1</v>
          </cell>
          <cell r="T10">
            <v>1</v>
          </cell>
          <cell r="U10" t="str">
            <v>Low conversion</v>
          </cell>
          <cell r="V10">
            <v>495.99</v>
          </cell>
          <cell r="W10">
            <v>439.99</v>
          </cell>
          <cell r="X10">
            <v>439.99</v>
          </cell>
          <cell r="Y10">
            <v>0</v>
          </cell>
          <cell r="Z10" t="str">
            <v>Lower price</v>
          </cell>
          <cell r="AA10">
            <v>0</v>
          </cell>
          <cell r="AB10">
            <v>293.3</v>
          </cell>
          <cell r="AC10">
            <v>52</v>
          </cell>
          <cell r="AD10">
            <v>0</v>
          </cell>
          <cell r="AE10">
            <v>8371.44</v>
          </cell>
          <cell r="AF10">
            <v>0.02</v>
          </cell>
          <cell r="AG10">
            <v>0.237834</v>
          </cell>
          <cell r="AH10" t="str">
            <v>cubic feet</v>
          </cell>
          <cell r="AI10" t="str">
            <v>Standard</v>
          </cell>
          <cell r="AJ10">
            <v>15.221376</v>
          </cell>
          <cell r="AK10" t="str">
            <v>UK</v>
          </cell>
          <cell r="AL10" t="str">
            <v>gl_biss</v>
          </cell>
          <cell r="AM10">
            <v>87370</v>
          </cell>
          <cell r="AN10">
            <v>366</v>
          </cell>
          <cell r="AO10">
            <v>64</v>
          </cell>
        </row>
        <row r="10">
          <cell r="AQ10">
            <v>832</v>
          </cell>
          <cell r="AR10">
            <v>439.99</v>
          </cell>
          <cell r="AS10">
            <v>0</v>
          </cell>
          <cell r="AT10">
            <v>0</v>
          </cell>
          <cell r="AU10">
            <v>279.33</v>
          </cell>
          <cell r="AV10">
            <v>279.33</v>
          </cell>
          <cell r="AW10">
            <v>0</v>
          </cell>
          <cell r="AX10">
            <v>60</v>
          </cell>
          <cell r="AY10">
            <v>0</v>
          </cell>
          <cell r="AZ10">
            <v>0</v>
          </cell>
          <cell r="BA10">
            <v>0</v>
          </cell>
          <cell r="BB10">
            <v>61.13</v>
          </cell>
          <cell r="BC10">
            <v>0</v>
          </cell>
          <cell r="BD10">
            <v>0</v>
          </cell>
          <cell r="BE10">
            <v>0</v>
          </cell>
          <cell r="BF10">
            <v>0</v>
          </cell>
          <cell r="BG10">
            <v>6</v>
          </cell>
          <cell r="BH10">
            <v>0</v>
          </cell>
          <cell r="BI10">
            <v>0</v>
          </cell>
          <cell r="BJ10">
            <v>0</v>
          </cell>
          <cell r="BK10">
            <v>0</v>
          </cell>
          <cell r="BL10">
            <v>0</v>
          </cell>
          <cell r="BM10">
            <v>0</v>
          </cell>
          <cell r="BN10">
            <v>0</v>
          </cell>
          <cell r="BO10">
            <v>0</v>
          </cell>
          <cell r="BP10">
            <v>0</v>
          </cell>
          <cell r="BQ10">
            <v>0</v>
          </cell>
          <cell r="BR10">
            <v>0</v>
          </cell>
          <cell r="BS10">
            <v>10</v>
          </cell>
          <cell r="BT10">
            <v>14.6</v>
          </cell>
        </row>
        <row r="10">
          <cell r="BV10">
            <v>0</v>
          </cell>
        </row>
        <row r="10">
          <cell r="BZ10">
            <v>2864</v>
          </cell>
          <cell r="CA10">
            <v>46182</v>
          </cell>
          <cell r="CB10">
            <v>64</v>
          </cell>
          <cell r="CC10">
            <v>0</v>
          </cell>
          <cell r="CD10">
            <v>0</v>
          </cell>
          <cell r="CE10">
            <v>0</v>
          </cell>
          <cell r="CF10">
            <v>6</v>
          </cell>
          <cell r="CG10">
            <v>366</v>
          </cell>
          <cell r="CH10" t="str">
            <v>N</v>
          </cell>
        </row>
        <row r="11">
          <cell r="A11" t="str">
            <v>X0025OIA3V</v>
          </cell>
          <cell r="B11">
            <v>46185</v>
          </cell>
          <cell r="C11" t="str">
            <v>amzn.gr.seallite-s-v240dsf1yA9aG9nDZN-LN</v>
          </cell>
          <cell r="D11" t="str">
            <v>X0025OIA3V</v>
          </cell>
          <cell r="E11" t="str">
            <v>B0CKSFWV72</v>
          </cell>
          <cell r="F11" t="str">
            <v>Handheld 3D Scanner for 3D Printing, 0.02mm Precision, 10FPS Fast Scanning Speed with Anti-Shake Lense for Windows/MacOS, 3D Scanner [Seal Lite Standard Package] 3DMakerpro</v>
          </cell>
          <cell r="G11" t="str">
            <v>Used</v>
          </cell>
          <cell r="H11">
            <v>1</v>
          </cell>
          <cell r="I11">
            <v>0</v>
          </cell>
          <cell r="J11">
            <v>0</v>
          </cell>
          <cell r="K11">
            <v>0</v>
          </cell>
          <cell r="L11">
            <v>1</v>
          </cell>
          <cell r="M11">
            <v>0</v>
          </cell>
          <cell r="N11">
            <v>0</v>
          </cell>
          <cell r="O11">
            <v>0</v>
          </cell>
          <cell r="P11" t="str">
            <v>GBP</v>
          </cell>
          <cell r="Q11">
            <v>0</v>
          </cell>
          <cell r="R11">
            <v>0</v>
          </cell>
          <cell r="S11">
            <v>0</v>
          </cell>
          <cell r="T11">
            <v>0</v>
          </cell>
          <cell r="U11" t="str">
            <v>Low conversion</v>
          </cell>
          <cell r="V11">
            <v>304.49</v>
          </cell>
          <cell r="W11">
            <v>0</v>
          </cell>
          <cell r="X11">
            <v>359.99</v>
          </cell>
          <cell r="Y11">
            <v>304.49</v>
          </cell>
          <cell r="Z11" t="str">
            <v>Lower price</v>
          </cell>
          <cell r="AA11">
            <v>1</v>
          </cell>
          <cell r="AB11">
            <v>0</v>
          </cell>
          <cell r="AC11">
            <v>0</v>
          </cell>
          <cell r="AD11">
            <v>0</v>
          </cell>
          <cell r="AE11">
            <v>25.79</v>
          </cell>
          <cell r="AF11">
            <v>0.22</v>
          </cell>
          <cell r="AG11">
            <v>0.082789</v>
          </cell>
          <cell r="AH11" t="str">
            <v>cubic feet</v>
          </cell>
          <cell r="AI11" t="str">
            <v>Standard</v>
          </cell>
          <cell r="AJ11">
            <v>0.082789</v>
          </cell>
          <cell r="AK11" t="str">
            <v>UK</v>
          </cell>
          <cell r="AL11" t="str">
            <v>gl_biss</v>
          </cell>
          <cell r="AM11">
            <v>87370</v>
          </cell>
          <cell r="AN11">
            <v>24</v>
          </cell>
          <cell r="AO11">
            <v>0</v>
          </cell>
        </row>
        <row r="11">
          <cell r="AR11">
            <v>359.99</v>
          </cell>
          <cell r="AS11">
            <v>0</v>
          </cell>
          <cell r="AT11">
            <v>0</v>
          </cell>
          <cell r="AU11">
            <v>0</v>
          </cell>
          <cell r="AV11">
            <v>0</v>
          </cell>
          <cell r="AW11">
            <v>0</v>
          </cell>
          <cell r="AX11">
            <v>0</v>
          </cell>
          <cell r="AY11">
            <v>0</v>
          </cell>
          <cell r="AZ11">
            <v>1</v>
          </cell>
          <cell r="BA11">
            <v>0</v>
          </cell>
          <cell r="BB11">
            <v>0.23</v>
          </cell>
          <cell r="BC11">
            <v>0</v>
          </cell>
          <cell r="BD11">
            <v>0</v>
          </cell>
          <cell r="BE11">
            <v>0</v>
          </cell>
          <cell r="BF11">
            <v>0</v>
          </cell>
          <cell r="BG11">
            <v>0</v>
          </cell>
          <cell r="BH11">
            <v>0</v>
          </cell>
        </row>
        <row r="11">
          <cell r="BV11">
            <v>1</v>
          </cell>
          <cell r="BW11">
            <v>46184</v>
          </cell>
        </row>
        <row r="11">
          <cell r="CA11">
            <v>46183</v>
          </cell>
          <cell r="CB11">
            <v>1</v>
          </cell>
          <cell r="CC11">
            <v>0</v>
          </cell>
          <cell r="CD11">
            <v>0</v>
          </cell>
          <cell r="CE11">
            <v>0</v>
          </cell>
          <cell r="CF11">
            <v>0</v>
          </cell>
          <cell r="CG11">
            <v>24</v>
          </cell>
          <cell r="CH11" t="str">
            <v>N</v>
          </cell>
        </row>
        <row r="12">
          <cell r="A12" t="str">
            <v>X001VVA6EF</v>
          </cell>
          <cell r="B12">
            <v>46185</v>
          </cell>
          <cell r="C12" t="str">
            <v>seallite-s</v>
          </cell>
          <cell r="D12" t="str">
            <v>X001VVA6EF</v>
          </cell>
          <cell r="E12" t="str">
            <v>B0CKSFWV72</v>
          </cell>
          <cell r="F12" t="str">
            <v>Handheld 3D Scanner for 3D Printing, 0.02mm Precision, 10FPS Fast Scanning Speed with Anti-Shake Lense for Windows/MacOS, 3D Scanner [Seal Lite Standard Package] 3DMakerpro</v>
          </cell>
          <cell r="G12" t="str">
            <v>New</v>
          </cell>
          <cell r="H12">
            <v>3</v>
          </cell>
          <cell r="I12">
            <v>0</v>
          </cell>
          <cell r="J12">
            <v>0</v>
          </cell>
          <cell r="K12">
            <v>1</v>
          </cell>
          <cell r="L12">
            <v>0</v>
          </cell>
          <cell r="M12">
            <v>1</v>
          </cell>
          <cell r="N12">
            <v>0</v>
          </cell>
          <cell r="O12">
            <v>1</v>
          </cell>
          <cell r="P12" t="str">
            <v>GBP</v>
          </cell>
          <cell r="Q12">
            <v>0</v>
          </cell>
          <cell r="R12">
            <v>0</v>
          </cell>
          <cell r="S12">
            <v>1</v>
          </cell>
          <cell r="T12">
            <v>1</v>
          </cell>
          <cell r="U12" t="str">
            <v>Low conversion</v>
          </cell>
          <cell r="V12">
            <v>405.99</v>
          </cell>
          <cell r="W12">
            <v>359.99</v>
          </cell>
          <cell r="X12">
            <v>359.99</v>
          </cell>
          <cell r="Y12">
            <v>304.49</v>
          </cell>
          <cell r="Z12" t="str">
            <v>NoRestockExcessActionRequired</v>
          </cell>
          <cell r="AA12">
            <v>0</v>
          </cell>
          <cell r="AB12">
            <v>297.52</v>
          </cell>
          <cell r="AC12">
            <v>52</v>
          </cell>
          <cell r="AD12">
            <v>0</v>
          </cell>
          <cell r="AE12">
            <v>693.28</v>
          </cell>
          <cell r="AF12">
            <v>0.22</v>
          </cell>
          <cell r="AG12">
            <v>0.082789</v>
          </cell>
          <cell r="AH12" t="str">
            <v>cubic feet</v>
          </cell>
          <cell r="AI12" t="str">
            <v>Standard</v>
          </cell>
          <cell r="AJ12">
            <v>0.248367</v>
          </cell>
          <cell r="AK12" t="str">
            <v>UK</v>
          </cell>
          <cell r="AL12" t="str">
            <v>gl_biss</v>
          </cell>
          <cell r="AM12">
            <v>87370</v>
          </cell>
          <cell r="AN12">
            <v>95</v>
          </cell>
          <cell r="AO12">
            <v>3</v>
          </cell>
        </row>
        <row r="12">
          <cell r="AQ12">
            <v>39</v>
          </cell>
          <cell r="AR12">
            <v>359.99</v>
          </cell>
          <cell r="AS12">
            <v>0</v>
          </cell>
          <cell r="AT12">
            <v>0</v>
          </cell>
          <cell r="AU12">
            <v>299.17</v>
          </cell>
          <cell r="AV12">
            <v>299.17</v>
          </cell>
          <cell r="AW12">
            <v>0</v>
          </cell>
          <cell r="AX12">
            <v>0</v>
          </cell>
          <cell r="AY12">
            <v>0</v>
          </cell>
          <cell r="AZ12">
            <v>0</v>
          </cell>
          <cell r="BA12">
            <v>1</v>
          </cell>
          <cell r="BB12">
            <v>1.48</v>
          </cell>
          <cell r="BC12">
            <v>0</v>
          </cell>
          <cell r="BD12">
            <v>0</v>
          </cell>
          <cell r="BE12">
            <v>0</v>
          </cell>
          <cell r="BF12">
            <v>0</v>
          </cell>
          <cell r="BG12">
            <v>0</v>
          </cell>
          <cell r="BH12">
            <v>0</v>
          </cell>
          <cell r="BI12">
            <v>0</v>
          </cell>
          <cell r="BJ12">
            <v>0</v>
          </cell>
          <cell r="BK12">
            <v>0</v>
          </cell>
          <cell r="BL12">
            <v>0</v>
          </cell>
          <cell r="BM12">
            <v>0</v>
          </cell>
          <cell r="BN12">
            <v>0</v>
          </cell>
          <cell r="BO12">
            <v>1</v>
          </cell>
          <cell r="BP12">
            <v>0.28</v>
          </cell>
          <cell r="BQ12">
            <v>0</v>
          </cell>
          <cell r="BR12">
            <v>0</v>
          </cell>
          <cell r="BS12">
            <v>1</v>
          </cell>
          <cell r="BT12">
            <v>0.51</v>
          </cell>
        </row>
        <row r="12">
          <cell r="BV12">
            <v>1</v>
          </cell>
          <cell r="BW12">
            <v>46177</v>
          </cell>
        </row>
        <row r="12">
          <cell r="BZ12">
            <v>313</v>
          </cell>
          <cell r="CA12">
            <v>46183</v>
          </cell>
          <cell r="CB12">
            <v>3</v>
          </cell>
          <cell r="CC12">
            <v>0</v>
          </cell>
          <cell r="CD12">
            <v>0</v>
          </cell>
          <cell r="CE12">
            <v>0</v>
          </cell>
          <cell r="CF12">
            <v>0</v>
          </cell>
          <cell r="CG12">
            <v>95</v>
          </cell>
          <cell r="CH12" t="str">
            <v>N</v>
          </cell>
        </row>
        <row r="13">
          <cell r="A13" t="str">
            <v>X002JSUKMR</v>
          </cell>
          <cell r="B13">
            <v>46185</v>
          </cell>
          <cell r="C13" t="str">
            <v>amzn.gr.seal-l-9kUWtelvYYG5PFEQuhkmMS-AC</v>
          </cell>
          <cell r="D13" t="str">
            <v>X002JSUKMR</v>
          </cell>
          <cell r="E13" t="str">
            <v>B0CKSFSJ5N</v>
          </cell>
          <cell r="F13" t="str">
            <v>3DMakerpro 3D Scanner 0.01mm Accuracy, 24-bit Color Camera, Anti-Shake Optical Lenses, 10FPS Scanning Speed, Handheld 3D Scanner for 3D Printing with Smart Grip - Seal Luxury Kit</v>
          </cell>
          <cell r="G13" t="str">
            <v>Used</v>
          </cell>
          <cell r="H13">
            <v>1</v>
          </cell>
          <cell r="I13">
            <v>0</v>
          </cell>
          <cell r="J13">
            <v>1</v>
          </cell>
          <cell r="K13">
            <v>0</v>
          </cell>
          <cell r="L13">
            <v>0</v>
          </cell>
          <cell r="M13">
            <v>0</v>
          </cell>
          <cell r="N13">
            <v>0</v>
          </cell>
          <cell r="O13">
            <v>0</v>
          </cell>
          <cell r="P13" t="str">
            <v>GBP</v>
          </cell>
        </row>
        <row r="13">
          <cell r="U13" t="str">
            <v>Low traffic</v>
          </cell>
          <cell r="V13">
            <v>832.49</v>
          </cell>
          <cell r="W13">
            <v>0</v>
          </cell>
          <cell r="X13">
            <v>899.99</v>
          </cell>
          <cell r="Y13">
            <v>832.49</v>
          </cell>
          <cell r="Z13" t="str">
            <v>Create removal order</v>
          </cell>
          <cell r="AA13">
            <v>0</v>
          </cell>
          <cell r="AB13">
            <v>665.99</v>
          </cell>
          <cell r="AC13">
            <v>9</v>
          </cell>
          <cell r="AD13">
            <v>0</v>
          </cell>
          <cell r="AE13">
            <v>94.93</v>
          </cell>
          <cell r="AF13">
            <v>0</v>
          </cell>
          <cell r="AG13">
            <v>0.516454</v>
          </cell>
          <cell r="AH13" t="str">
            <v>cubic feet</v>
          </cell>
          <cell r="AI13" t="str">
            <v>Standard</v>
          </cell>
          <cell r="AJ13">
            <v>0.516454</v>
          </cell>
          <cell r="AK13" t="str">
            <v>UK</v>
          </cell>
          <cell r="AL13" t="str">
            <v>gl_biss</v>
          </cell>
          <cell r="AM13">
            <v>158357</v>
          </cell>
          <cell r="AN13">
            <v>366</v>
          </cell>
          <cell r="AO13">
            <v>0</v>
          </cell>
        </row>
        <row r="13">
          <cell r="AR13">
            <v>899.99</v>
          </cell>
        </row>
        <row r="13">
          <cell r="AW13">
            <v>0</v>
          </cell>
          <cell r="AX13">
            <v>0</v>
          </cell>
          <cell r="AY13">
            <v>1</v>
          </cell>
          <cell r="AZ13">
            <v>0</v>
          </cell>
          <cell r="BA13">
            <v>0</v>
          </cell>
          <cell r="BB13">
            <v>0.35</v>
          </cell>
          <cell r="BC13">
            <v>0</v>
          </cell>
          <cell r="BD13">
            <v>0</v>
          </cell>
          <cell r="BE13">
            <v>0</v>
          </cell>
          <cell r="BF13">
            <v>0</v>
          </cell>
          <cell r="BG13">
            <v>0</v>
          </cell>
          <cell r="BH13">
            <v>0</v>
          </cell>
        </row>
        <row r="13">
          <cell r="BV13">
            <v>1</v>
          </cell>
          <cell r="BW13">
            <v>46178</v>
          </cell>
        </row>
        <row r="13">
          <cell r="CA13">
            <v>46183</v>
          </cell>
          <cell r="CB13">
            <v>1</v>
          </cell>
          <cell r="CC13">
            <v>0</v>
          </cell>
          <cell r="CD13">
            <v>0</v>
          </cell>
          <cell r="CE13">
            <v>0</v>
          </cell>
          <cell r="CF13">
            <v>0</v>
          </cell>
          <cell r="CG13">
            <v>366</v>
          </cell>
          <cell r="CH13" t="str">
            <v>N</v>
          </cell>
        </row>
        <row r="14">
          <cell r="A14" t="str">
            <v>X002801V29</v>
          </cell>
          <cell r="B14">
            <v>46185</v>
          </cell>
          <cell r="C14" t="str">
            <v>amzn.gr.lynx-s-JPPp8AQ3h4cDvRArGmx0td-LN</v>
          </cell>
          <cell r="D14" t="str">
            <v>X002801V29</v>
          </cell>
          <cell r="E14" t="str">
            <v>B0C9J2R9TX</v>
          </cell>
          <cell r="F14" t="str">
            <v>3DMakerpro Lynx 3D Scanner Large Scanning Range 0.1mm Accuracy &amp; 10FPS Scan Speed Portable 3D Scanner for 3D Printing Model, Fast Scan Result with User-friendly Software - Standard Kit</v>
          </cell>
          <cell r="G14" t="str">
            <v>Used</v>
          </cell>
          <cell r="H14">
            <v>3</v>
          </cell>
          <cell r="I14">
            <v>0</v>
          </cell>
          <cell r="J14">
            <v>0</v>
          </cell>
          <cell r="K14">
            <v>1</v>
          </cell>
          <cell r="L14">
            <v>0</v>
          </cell>
          <cell r="M14">
            <v>2</v>
          </cell>
          <cell r="N14">
            <v>0</v>
          </cell>
          <cell r="O14">
            <v>0</v>
          </cell>
          <cell r="P14" t="str">
            <v>GBP</v>
          </cell>
        </row>
        <row r="14">
          <cell r="U14" t="str">
            <v>Low traffic</v>
          </cell>
          <cell r="V14">
            <v>299.4</v>
          </cell>
          <cell r="W14">
            <v>0</v>
          </cell>
          <cell r="X14">
            <v>0</v>
          </cell>
          <cell r="Y14">
            <v>299.4</v>
          </cell>
          <cell r="Z14" t="str">
            <v>Advertise listing</v>
          </cell>
          <cell r="AA14">
            <v>0</v>
          </cell>
          <cell r="AB14">
            <v>239.52</v>
          </cell>
          <cell r="AC14">
            <v>9</v>
          </cell>
          <cell r="AD14">
            <v>0</v>
          </cell>
          <cell r="AE14">
            <v>444.76</v>
          </cell>
          <cell r="AF14">
            <v>0</v>
          </cell>
          <cell r="AG14">
            <v>0.549815</v>
          </cell>
          <cell r="AH14" t="str">
            <v>cubic feet</v>
          </cell>
          <cell r="AI14" t="str">
            <v>Standard</v>
          </cell>
          <cell r="AJ14">
            <v>1.649445</v>
          </cell>
          <cell r="AK14" t="str">
            <v>UK</v>
          </cell>
          <cell r="AL14" t="str">
            <v>gl_biss</v>
          </cell>
        </row>
        <row r="14">
          <cell r="AN14">
            <v>67</v>
          </cell>
          <cell r="AO14">
            <v>0</v>
          </cell>
        </row>
        <row r="14">
          <cell r="AR14">
            <v>299.4</v>
          </cell>
        </row>
        <row r="14">
          <cell r="AW14">
            <v>0</v>
          </cell>
          <cell r="AX14">
            <v>0</v>
          </cell>
          <cell r="AY14">
            <v>0</v>
          </cell>
          <cell r="AZ14">
            <v>2</v>
          </cell>
          <cell r="BA14">
            <v>0</v>
          </cell>
          <cell r="BB14">
            <v>8.21</v>
          </cell>
          <cell r="BC14">
            <v>0</v>
          </cell>
          <cell r="BD14">
            <v>0</v>
          </cell>
          <cell r="BE14">
            <v>0</v>
          </cell>
          <cell r="BF14">
            <v>0</v>
          </cell>
          <cell r="BG14">
            <v>0</v>
          </cell>
          <cell r="BH14">
            <v>0</v>
          </cell>
          <cell r="BI14">
            <v>0</v>
          </cell>
          <cell r="BJ14">
            <v>0</v>
          </cell>
          <cell r="BK14">
            <v>1</v>
          </cell>
          <cell r="BL14">
            <v>1.73</v>
          </cell>
          <cell r="BM14">
            <v>0</v>
          </cell>
          <cell r="BN14">
            <v>0</v>
          </cell>
          <cell r="BO14">
            <v>1</v>
          </cell>
          <cell r="BP14">
            <v>1.87</v>
          </cell>
          <cell r="BQ14">
            <v>0</v>
          </cell>
          <cell r="BR14">
            <v>0</v>
          </cell>
          <cell r="BS14">
            <v>0</v>
          </cell>
          <cell r="BT14">
            <v>0</v>
          </cell>
        </row>
        <row r="14">
          <cell r="BV14">
            <v>1</v>
          </cell>
          <cell r="BW14">
            <v>46161</v>
          </cell>
        </row>
        <row r="14">
          <cell r="CA14">
            <v>46183</v>
          </cell>
          <cell r="CB14">
            <v>3</v>
          </cell>
          <cell r="CC14">
            <v>0</v>
          </cell>
          <cell r="CD14">
            <v>0</v>
          </cell>
          <cell r="CE14">
            <v>0</v>
          </cell>
          <cell r="CF14">
            <v>0</v>
          </cell>
          <cell r="CG14">
            <v>67</v>
          </cell>
          <cell r="CH14" t="str">
            <v>N</v>
          </cell>
        </row>
        <row r="15">
          <cell r="A15" t="str">
            <v>X0020GS5LB</v>
          </cell>
          <cell r="B15">
            <v>46185</v>
          </cell>
          <cell r="C15" t="str">
            <v>UK Moose Lite Standard</v>
          </cell>
          <cell r="D15" t="str">
            <v>X0020GS5LB</v>
          </cell>
          <cell r="E15" t="str">
            <v>B0D2H8V3MT</v>
          </cell>
          <cell r="F15" t="str">
            <v>3DMakerpro Moose Lite 3D Scanner for 3D Modeling – Handheld scanner with 0.05 mm precision, Blue Light Technology, AI Tracking, Windows/macOS (Standard Package)</v>
          </cell>
          <cell r="G15" t="str">
            <v>New</v>
          </cell>
          <cell r="H15">
            <v>11</v>
          </cell>
          <cell r="I15">
            <v>0</v>
          </cell>
          <cell r="J15">
            <v>1</v>
          </cell>
          <cell r="K15">
            <v>1</v>
          </cell>
          <cell r="L15">
            <v>1</v>
          </cell>
          <cell r="M15">
            <v>0</v>
          </cell>
          <cell r="N15">
            <v>1</v>
          </cell>
          <cell r="O15">
            <v>27</v>
          </cell>
          <cell r="P15" t="str">
            <v>GBP</v>
          </cell>
          <cell r="Q15">
            <v>1</v>
          </cell>
          <cell r="R15">
            <v>4</v>
          </cell>
          <cell r="S15">
            <v>5</v>
          </cell>
          <cell r="T15">
            <v>6</v>
          </cell>
        </row>
        <row r="15">
          <cell r="V15">
            <v>405.99</v>
          </cell>
          <cell r="W15">
            <v>399.99</v>
          </cell>
          <cell r="X15">
            <v>399.99</v>
          </cell>
          <cell r="Y15">
            <v>304.49</v>
          </cell>
          <cell r="Z15" t="str">
            <v>NoRestockExcessActionRequired</v>
          </cell>
          <cell r="AA15">
            <v>0</v>
          </cell>
          <cell r="AB15">
            <v>279.3</v>
          </cell>
          <cell r="AC15">
            <v>52</v>
          </cell>
          <cell r="AD15">
            <v>0</v>
          </cell>
          <cell r="AE15">
            <v>3678.73</v>
          </cell>
          <cell r="AF15">
            <v>0.19</v>
          </cell>
          <cell r="AG15">
            <v>0.061357</v>
          </cell>
          <cell r="AH15" t="str">
            <v>cubic feet</v>
          </cell>
        </row>
        <row r="15">
          <cell r="AJ15">
            <v>0.674927</v>
          </cell>
          <cell r="AK15" t="str">
            <v>UK</v>
          </cell>
          <cell r="AL15" t="str">
            <v>gl_biss</v>
          </cell>
          <cell r="AM15">
            <v>43783</v>
          </cell>
          <cell r="AN15">
            <v>188</v>
          </cell>
          <cell r="AO15">
            <v>11</v>
          </cell>
          <cell r="AP15">
            <v>11</v>
          </cell>
          <cell r="AQ15">
            <v>23</v>
          </cell>
          <cell r="AR15">
            <v>399.99</v>
          </cell>
          <cell r="AS15">
            <v>333.32</v>
          </cell>
          <cell r="AT15">
            <v>1437.2</v>
          </cell>
          <cell r="AU15">
            <v>1769.7</v>
          </cell>
          <cell r="AV15">
            <v>2102.2</v>
          </cell>
          <cell r="AW15">
            <v>1</v>
          </cell>
          <cell r="AX15">
            <v>0</v>
          </cell>
          <cell r="AY15">
            <v>0</v>
          </cell>
          <cell r="AZ15">
            <v>1</v>
          </cell>
          <cell r="BA15">
            <v>0</v>
          </cell>
          <cell r="BB15">
            <v>16.26</v>
          </cell>
          <cell r="BC15">
            <v>0</v>
          </cell>
          <cell r="BD15">
            <v>0</v>
          </cell>
          <cell r="BE15">
            <v>0</v>
          </cell>
          <cell r="BF15">
            <v>0</v>
          </cell>
          <cell r="BG15">
            <v>20</v>
          </cell>
          <cell r="BH15">
            <v>0</v>
          </cell>
          <cell r="BI15">
            <v>0</v>
          </cell>
          <cell r="BJ15">
            <v>0</v>
          </cell>
          <cell r="BK15">
            <v>0</v>
          </cell>
          <cell r="BL15">
            <v>0</v>
          </cell>
          <cell r="BM15">
            <v>0</v>
          </cell>
          <cell r="BN15">
            <v>0</v>
          </cell>
          <cell r="BO15">
            <v>0</v>
          </cell>
          <cell r="BP15">
            <v>0</v>
          </cell>
          <cell r="BQ15">
            <v>1</v>
          </cell>
          <cell r="BR15">
            <v>0.35</v>
          </cell>
          <cell r="BS15">
            <v>27</v>
          </cell>
          <cell r="BT15">
            <v>10.18</v>
          </cell>
          <cell r="BU15">
            <v>605.8</v>
          </cell>
          <cell r="BV15">
            <v>0</v>
          </cell>
        </row>
        <row r="15">
          <cell r="BX15">
            <v>46180</v>
          </cell>
          <cell r="BY15">
            <v>244</v>
          </cell>
          <cell r="BZ15">
            <v>605.8</v>
          </cell>
          <cell r="CA15">
            <v>46183</v>
          </cell>
          <cell r="CB15">
            <v>11</v>
          </cell>
          <cell r="CC15">
            <v>0</v>
          </cell>
          <cell r="CD15">
            <v>0</v>
          </cell>
          <cell r="CE15">
            <v>0</v>
          </cell>
          <cell r="CF15">
            <v>20</v>
          </cell>
          <cell r="CG15">
            <v>366</v>
          </cell>
          <cell r="CH15" t="str">
            <v>N</v>
          </cell>
        </row>
        <row r="16">
          <cell r="A16" t="str">
            <v>X002H51IEL</v>
          </cell>
          <cell r="B16">
            <v>46185</v>
          </cell>
          <cell r="C16" t="str">
            <v>amzn.gr.UK_Moose_Lite_Premium-fDCQNPk-VG</v>
          </cell>
          <cell r="D16" t="str">
            <v>X002H51IEL</v>
          </cell>
          <cell r="E16" t="str">
            <v>B0D2HGCT9Y</v>
          </cell>
          <cell r="F16" t="str">
            <v>3DMakerpro Moose Lite 3D Scanner for 3D Modeling &amp; Reverse Engineering – Premium (with Turntable &amp; Tripod), 0.05 mm accuracy, Blue Light, AI Tracking, Windows/macOS</v>
          </cell>
          <cell r="G16" t="str">
            <v>Used</v>
          </cell>
          <cell r="H16">
            <v>1</v>
          </cell>
          <cell r="I16">
            <v>0</v>
          </cell>
          <cell r="J16">
            <v>0</v>
          </cell>
          <cell r="K16">
            <v>1</v>
          </cell>
          <cell r="L16">
            <v>0</v>
          </cell>
          <cell r="M16">
            <v>0</v>
          </cell>
          <cell r="N16">
            <v>0</v>
          </cell>
          <cell r="O16">
            <v>0</v>
          </cell>
          <cell r="P16" t="str">
            <v>GBP</v>
          </cell>
        </row>
        <row r="16">
          <cell r="U16" t="str">
            <v>Low conversion</v>
          </cell>
          <cell r="V16">
            <v>371.99</v>
          </cell>
          <cell r="W16">
            <v>0</v>
          </cell>
          <cell r="X16">
            <v>429.99</v>
          </cell>
          <cell r="Y16">
            <v>371.99</v>
          </cell>
          <cell r="Z16" t="str">
            <v>Lower price</v>
          </cell>
          <cell r="AA16">
            <v>0</v>
          </cell>
          <cell r="AB16">
            <v>297.59</v>
          </cell>
          <cell r="AC16">
            <v>9</v>
          </cell>
          <cell r="AD16">
            <v>0</v>
          </cell>
          <cell r="AE16">
            <v>67.25</v>
          </cell>
          <cell r="AF16">
            <v>0.16</v>
          </cell>
          <cell r="AG16">
            <v>0.247909</v>
          </cell>
          <cell r="AH16" t="str">
            <v>cubic feet</v>
          </cell>
          <cell r="AI16" t="str">
            <v>Standard</v>
          </cell>
          <cell r="AJ16">
            <v>0.247909</v>
          </cell>
          <cell r="AK16" t="str">
            <v>UK</v>
          </cell>
          <cell r="AL16" t="str">
            <v>gl_biss</v>
          </cell>
          <cell r="AM16">
            <v>43783</v>
          </cell>
          <cell r="AN16">
            <v>22</v>
          </cell>
          <cell r="AO16">
            <v>0</v>
          </cell>
        </row>
        <row r="16">
          <cell r="AR16">
            <v>429.99</v>
          </cell>
        </row>
        <row r="16">
          <cell r="AW16">
            <v>0</v>
          </cell>
          <cell r="AX16">
            <v>0</v>
          </cell>
          <cell r="AY16">
            <v>0</v>
          </cell>
          <cell r="AZ16">
            <v>0</v>
          </cell>
          <cell r="BA16">
            <v>0</v>
          </cell>
          <cell r="BB16">
            <v>0.69</v>
          </cell>
          <cell r="BC16">
            <v>0</v>
          </cell>
          <cell r="BD16">
            <v>0</v>
          </cell>
          <cell r="BE16">
            <v>0</v>
          </cell>
          <cell r="BF16">
            <v>0</v>
          </cell>
          <cell r="BG16">
            <v>0</v>
          </cell>
          <cell r="BH16">
            <v>0</v>
          </cell>
        </row>
        <row r="16">
          <cell r="BV16">
            <v>4</v>
          </cell>
          <cell r="BW16">
            <v>46182</v>
          </cell>
        </row>
        <row r="16">
          <cell r="CA16">
            <v>46183</v>
          </cell>
          <cell r="CB16">
            <v>1</v>
          </cell>
          <cell r="CC16">
            <v>0</v>
          </cell>
          <cell r="CD16">
            <v>0</v>
          </cell>
          <cell r="CE16">
            <v>0</v>
          </cell>
          <cell r="CF16">
            <v>0</v>
          </cell>
          <cell r="CG16">
            <v>22</v>
          </cell>
          <cell r="CH16" t="str">
            <v>N</v>
          </cell>
        </row>
        <row r="17">
          <cell r="A17" t="str">
            <v>X0020GS5LV</v>
          </cell>
          <cell r="B17">
            <v>46185</v>
          </cell>
          <cell r="C17" t="str">
            <v>UK Moose Lite Premium</v>
          </cell>
          <cell r="D17" t="str">
            <v>X0020GS5LV</v>
          </cell>
          <cell r="E17" t="str">
            <v>B0D2HGCT9Y</v>
          </cell>
          <cell r="F17" t="str">
            <v>3DMakerpro Moose Lite 3D Scanner for 3D Modeling &amp; Reverse Engineering – Premium (with Turntable &amp; Tripod), 0.05 mm accuracy, Blue Light, AI Tracking, Windows/macOS</v>
          </cell>
          <cell r="G17" t="str">
            <v>New</v>
          </cell>
          <cell r="H17">
            <v>38</v>
          </cell>
          <cell r="I17">
            <v>0</v>
          </cell>
          <cell r="J17">
            <v>36</v>
          </cell>
          <cell r="K17">
            <v>0</v>
          </cell>
          <cell r="L17">
            <v>0</v>
          </cell>
          <cell r="M17">
            <v>0</v>
          </cell>
          <cell r="N17">
            <v>0</v>
          </cell>
          <cell r="O17">
            <v>3</v>
          </cell>
          <cell r="P17" t="str">
            <v>GBP</v>
          </cell>
          <cell r="Q17">
            <v>0</v>
          </cell>
          <cell r="R17">
            <v>3</v>
          </cell>
          <cell r="S17">
            <v>3</v>
          </cell>
          <cell r="T17">
            <v>4</v>
          </cell>
        </row>
        <row r="17">
          <cell r="V17">
            <v>495.99</v>
          </cell>
          <cell r="W17">
            <v>429.99</v>
          </cell>
          <cell r="X17">
            <v>429.99</v>
          </cell>
          <cell r="Y17">
            <v>371.99</v>
          </cell>
          <cell r="Z17" t="str">
            <v>Edit listing</v>
          </cell>
          <cell r="AA17">
            <v>0</v>
          </cell>
          <cell r="AB17">
            <v>0</v>
          </cell>
          <cell r="AC17">
            <v>0</v>
          </cell>
          <cell r="AD17">
            <v>0</v>
          </cell>
          <cell r="AE17">
            <v>11597.49</v>
          </cell>
          <cell r="AF17">
            <v>0.16</v>
          </cell>
          <cell r="AG17">
            <v>0.247909</v>
          </cell>
          <cell r="AH17" t="str">
            <v>cubic feet</v>
          </cell>
        </row>
        <row r="17">
          <cell r="AJ17">
            <v>9.420542</v>
          </cell>
          <cell r="AK17" t="str">
            <v>UK</v>
          </cell>
          <cell r="AL17" t="str">
            <v>gl_biss</v>
          </cell>
          <cell r="AM17">
            <v>43783</v>
          </cell>
          <cell r="AN17">
            <v>366</v>
          </cell>
          <cell r="AO17">
            <v>38</v>
          </cell>
          <cell r="AP17">
            <v>50</v>
          </cell>
          <cell r="AQ17">
            <v>123</v>
          </cell>
          <cell r="AR17">
            <v>429.99</v>
          </cell>
          <cell r="AS17">
            <v>0</v>
          </cell>
          <cell r="AT17">
            <v>1230.42</v>
          </cell>
          <cell r="AU17">
            <v>1230.42</v>
          </cell>
          <cell r="AV17">
            <v>1536.42</v>
          </cell>
          <cell r="AW17">
            <v>0</v>
          </cell>
          <cell r="AX17">
            <v>36</v>
          </cell>
          <cell r="AY17">
            <v>0</v>
          </cell>
          <cell r="AZ17">
            <v>0</v>
          </cell>
          <cell r="BA17">
            <v>0</v>
          </cell>
          <cell r="BB17">
            <v>33.38</v>
          </cell>
          <cell r="BC17">
            <v>0</v>
          </cell>
          <cell r="BD17">
            <v>0</v>
          </cell>
          <cell r="BE17">
            <v>0</v>
          </cell>
          <cell r="BF17">
            <v>0</v>
          </cell>
          <cell r="BG17">
            <v>0</v>
          </cell>
          <cell r="BH17">
            <v>0</v>
          </cell>
          <cell r="BI17">
            <v>0</v>
          </cell>
          <cell r="BJ17">
            <v>0</v>
          </cell>
          <cell r="BK17">
            <v>0</v>
          </cell>
          <cell r="BL17">
            <v>0</v>
          </cell>
          <cell r="BM17">
            <v>0</v>
          </cell>
          <cell r="BN17">
            <v>0</v>
          </cell>
          <cell r="BO17">
            <v>0</v>
          </cell>
          <cell r="BP17">
            <v>0</v>
          </cell>
          <cell r="BQ17">
            <v>0</v>
          </cell>
          <cell r="BR17">
            <v>0</v>
          </cell>
          <cell r="BS17">
            <v>3</v>
          </cell>
          <cell r="BT17">
            <v>4.56</v>
          </cell>
          <cell r="BU17">
            <v>601.5</v>
          </cell>
          <cell r="BV17">
            <v>0</v>
          </cell>
        </row>
        <row r="17">
          <cell r="BX17">
            <v>46180</v>
          </cell>
          <cell r="BY17">
            <v>601.5</v>
          </cell>
          <cell r="BZ17">
            <v>528</v>
          </cell>
          <cell r="CA17">
            <v>46182</v>
          </cell>
          <cell r="CB17">
            <v>38</v>
          </cell>
          <cell r="CC17">
            <v>0</v>
          </cell>
          <cell r="CD17">
            <v>0</v>
          </cell>
          <cell r="CE17">
            <v>0</v>
          </cell>
          <cell r="CF17">
            <v>0</v>
          </cell>
          <cell r="CG17">
            <v>366</v>
          </cell>
          <cell r="CH17" t="str">
            <v>N</v>
          </cell>
        </row>
        <row r="18">
          <cell r="A18" t="str">
            <v>X001VV5NJN</v>
          </cell>
          <cell r="B18">
            <v>46185</v>
          </cell>
          <cell r="C18" t="str">
            <v>seal-l</v>
          </cell>
          <cell r="D18" t="str">
            <v>X001VV5NJN</v>
          </cell>
          <cell r="E18" t="str">
            <v>B0CKSFSJ5N</v>
          </cell>
          <cell r="F18" t="str">
            <v>3DMakerpro 3D Scanner 0.01mm Accuracy, 24-bit Color Camera, Anti-Shake Optical Lenses, 10FPS Scanning Speed, Handheld 3D Scanner for 3D Printing with Smart Grip - Seal Luxury Kit</v>
          </cell>
          <cell r="G18" t="str">
            <v>New</v>
          </cell>
          <cell r="H18">
            <v>16</v>
          </cell>
          <cell r="I18">
            <v>0</v>
          </cell>
          <cell r="J18">
            <v>0</v>
          </cell>
          <cell r="K18">
            <v>0</v>
          </cell>
          <cell r="L18">
            <v>0</v>
          </cell>
          <cell r="M18">
            <v>0</v>
          </cell>
          <cell r="N18">
            <v>0</v>
          </cell>
          <cell r="O18">
            <v>16</v>
          </cell>
          <cell r="P18" t="str">
            <v>GBP</v>
          </cell>
          <cell r="Q18">
            <v>0</v>
          </cell>
          <cell r="R18">
            <v>0</v>
          </cell>
          <cell r="S18">
            <v>0</v>
          </cell>
          <cell r="T18">
            <v>0</v>
          </cell>
          <cell r="U18" t="str">
            <v>Low traffic</v>
          </cell>
          <cell r="V18">
            <v>1109.99</v>
          </cell>
          <cell r="W18">
            <v>899.99</v>
          </cell>
          <cell r="X18">
            <v>899.99</v>
          </cell>
          <cell r="Y18">
            <v>832.49</v>
          </cell>
          <cell r="Z18" t="str">
            <v>Create removal order</v>
          </cell>
          <cell r="AA18">
            <v>0</v>
          </cell>
          <cell r="AB18">
            <v>0</v>
          </cell>
          <cell r="AC18">
            <v>0</v>
          </cell>
          <cell r="AD18">
            <v>0</v>
          </cell>
          <cell r="AE18">
            <v>2018.26</v>
          </cell>
          <cell r="AF18">
            <v>0</v>
          </cell>
          <cell r="AG18">
            <v>0.516454</v>
          </cell>
          <cell r="AH18" t="str">
            <v>cubic feet</v>
          </cell>
          <cell r="AI18" t="str">
            <v>Standard</v>
          </cell>
          <cell r="AJ18">
            <v>8.263264</v>
          </cell>
          <cell r="AK18" t="str">
            <v>UK</v>
          </cell>
          <cell r="AL18" t="str">
            <v>gl_biss</v>
          </cell>
          <cell r="AM18">
            <v>158357</v>
          </cell>
          <cell r="AN18">
            <v>366</v>
          </cell>
          <cell r="AO18">
            <v>16</v>
          </cell>
        </row>
        <row r="18">
          <cell r="AR18">
            <v>899.99</v>
          </cell>
          <cell r="AS18">
            <v>0</v>
          </cell>
          <cell r="AT18">
            <v>0</v>
          </cell>
          <cell r="AU18">
            <v>0</v>
          </cell>
          <cell r="AV18">
            <v>0</v>
          </cell>
          <cell r="AW18">
            <v>0</v>
          </cell>
          <cell r="AX18">
            <v>0</v>
          </cell>
          <cell r="AY18">
            <v>0</v>
          </cell>
          <cell r="AZ18">
            <v>0</v>
          </cell>
          <cell r="BA18">
            <v>0</v>
          </cell>
          <cell r="BB18">
            <v>56.34</v>
          </cell>
          <cell r="BC18">
            <v>0</v>
          </cell>
          <cell r="BD18">
            <v>0</v>
          </cell>
          <cell r="BE18">
            <v>0</v>
          </cell>
          <cell r="BF18">
            <v>0</v>
          </cell>
          <cell r="BG18">
            <v>0</v>
          </cell>
          <cell r="BH18">
            <v>0</v>
          </cell>
          <cell r="BI18">
            <v>0</v>
          </cell>
          <cell r="BJ18">
            <v>0</v>
          </cell>
          <cell r="BK18">
            <v>0</v>
          </cell>
          <cell r="BL18">
            <v>0</v>
          </cell>
          <cell r="BM18">
            <v>0</v>
          </cell>
          <cell r="BN18">
            <v>0</v>
          </cell>
          <cell r="BO18">
            <v>0</v>
          </cell>
          <cell r="BP18">
            <v>0</v>
          </cell>
          <cell r="BQ18">
            <v>0</v>
          </cell>
          <cell r="BR18">
            <v>0</v>
          </cell>
          <cell r="BS18">
            <v>16</v>
          </cell>
          <cell r="BT18">
            <v>50.74</v>
          </cell>
        </row>
        <row r="18">
          <cell r="BV18">
            <v>0</v>
          </cell>
        </row>
        <row r="18">
          <cell r="CA18">
            <v>46183</v>
          </cell>
          <cell r="CB18">
            <v>16</v>
          </cell>
          <cell r="CC18">
            <v>0</v>
          </cell>
          <cell r="CD18">
            <v>0</v>
          </cell>
          <cell r="CE18">
            <v>0</v>
          </cell>
          <cell r="CF18">
            <v>0</v>
          </cell>
          <cell r="CG18">
            <v>366</v>
          </cell>
          <cell r="CH18" t="str">
            <v>N</v>
          </cell>
        </row>
        <row r="19">
          <cell r="A19" t="str">
            <v>X0029ZEGE3</v>
          </cell>
          <cell r="B19">
            <v>46185</v>
          </cell>
          <cell r="C19" t="str">
            <v>amzn.gr.UK_Seal_Lite_Standard-R6lMkWF-LN</v>
          </cell>
          <cell r="D19" t="str">
            <v>X0029ZEGE3</v>
          </cell>
          <cell r="E19" t="str">
            <v>B0DG5HBQ61</v>
          </cell>
          <cell r="F19" t="str">
            <v>Handheld 3D Scanner for 3D Printer, 10FPS Fast Scanning Speed with Anti-Shake Lense and 0.02mm Precision on Windows/MacOS, 3DMakerpro Seal Lite [Standard Kit]</v>
          </cell>
          <cell r="G19" t="str">
            <v>Used</v>
          </cell>
          <cell r="H19">
            <v>1</v>
          </cell>
          <cell r="I19">
            <v>0</v>
          </cell>
          <cell r="J19">
            <v>0</v>
          </cell>
          <cell r="K19">
            <v>0</v>
          </cell>
          <cell r="L19">
            <v>0</v>
          </cell>
          <cell r="M19">
            <v>0</v>
          </cell>
          <cell r="N19">
            <v>1</v>
          </cell>
          <cell r="O19">
            <v>0</v>
          </cell>
          <cell r="P19" t="str">
            <v>GBP</v>
          </cell>
        </row>
        <row r="19">
          <cell r="U19" t="str">
            <v>Low conversion</v>
          </cell>
          <cell r="V19">
            <v>304.49</v>
          </cell>
          <cell r="W19">
            <v>0</v>
          </cell>
          <cell r="X19">
            <v>399.99</v>
          </cell>
          <cell r="Y19">
            <v>304.49</v>
          </cell>
          <cell r="Z19" t="str">
            <v>Lower price</v>
          </cell>
          <cell r="AA19">
            <v>0</v>
          </cell>
          <cell r="AB19">
            <v>226.06</v>
          </cell>
          <cell r="AC19">
            <v>9</v>
          </cell>
          <cell r="AD19">
            <v>0</v>
          </cell>
          <cell r="AE19">
            <v>29.05</v>
          </cell>
          <cell r="AF19">
            <v>0.12</v>
          </cell>
          <cell r="AG19">
            <v>0.081577</v>
          </cell>
          <cell r="AH19" t="str">
            <v>cubic feet</v>
          </cell>
          <cell r="AI19" t="str">
            <v>Standard</v>
          </cell>
          <cell r="AJ19">
            <v>0.081577</v>
          </cell>
          <cell r="AK19" t="str">
            <v>UK</v>
          </cell>
          <cell r="AL19" t="str">
            <v>gl_biss</v>
          </cell>
          <cell r="AM19">
            <v>87370</v>
          </cell>
          <cell r="AN19">
            <v>22</v>
          </cell>
          <cell r="AO19">
            <v>0</v>
          </cell>
        </row>
        <row r="19">
          <cell r="AR19">
            <v>399.99</v>
          </cell>
        </row>
        <row r="19">
          <cell r="AW19">
            <v>0</v>
          </cell>
          <cell r="AX19">
            <v>0</v>
          </cell>
          <cell r="AY19">
            <v>0</v>
          </cell>
          <cell r="AZ19">
            <v>0</v>
          </cell>
          <cell r="BA19">
            <v>0</v>
          </cell>
          <cell r="BB19">
            <v>0.69</v>
          </cell>
          <cell r="BC19">
            <v>0</v>
          </cell>
          <cell r="BD19">
            <v>0</v>
          </cell>
          <cell r="BE19">
            <v>0</v>
          </cell>
          <cell r="BF19">
            <v>0</v>
          </cell>
          <cell r="BG19">
            <v>0</v>
          </cell>
          <cell r="BH19">
            <v>0</v>
          </cell>
          <cell r="BI19">
            <v>0</v>
          </cell>
          <cell r="BJ19">
            <v>0</v>
          </cell>
          <cell r="BK19">
            <v>0</v>
          </cell>
          <cell r="BL19">
            <v>0</v>
          </cell>
          <cell r="BM19">
            <v>0</v>
          </cell>
          <cell r="BN19">
            <v>0</v>
          </cell>
          <cell r="BO19">
            <v>0</v>
          </cell>
          <cell r="BP19">
            <v>0</v>
          </cell>
          <cell r="BQ19">
            <v>1</v>
          </cell>
          <cell r="BR19">
            <v>0.47</v>
          </cell>
          <cell r="BS19">
            <v>0</v>
          </cell>
          <cell r="BT19">
            <v>0</v>
          </cell>
        </row>
        <row r="19">
          <cell r="BV19">
            <v>3</v>
          </cell>
          <cell r="BW19">
            <v>46184</v>
          </cell>
        </row>
        <row r="19">
          <cell r="CA19">
            <v>46183</v>
          </cell>
          <cell r="CB19">
            <v>1</v>
          </cell>
          <cell r="CC19">
            <v>0</v>
          </cell>
          <cell r="CD19">
            <v>0</v>
          </cell>
          <cell r="CE19">
            <v>0</v>
          </cell>
          <cell r="CF19">
            <v>0</v>
          </cell>
          <cell r="CG19">
            <v>22</v>
          </cell>
          <cell r="CH19" t="str">
            <v>N</v>
          </cell>
        </row>
        <row r="20">
          <cell r="A20" t="str">
            <v>X0025RKPT5</v>
          </cell>
          <cell r="B20">
            <v>46185</v>
          </cell>
          <cell r="C20" t="str">
            <v>UK Seal Lite Standard</v>
          </cell>
          <cell r="D20" t="str">
            <v>X0025RKPT5</v>
          </cell>
          <cell r="E20" t="str">
            <v>B0DG5HBQ61</v>
          </cell>
          <cell r="F20" t="str">
            <v>Handheld 3D Scanner for 3D Printer, 10FPS Fast Scanning Speed with Anti-Shake Lense and 0.02mm Precision on Windows/MacOS, 3DMakerpro Seal Lite [Standard Kit]</v>
          </cell>
          <cell r="G20" t="str">
            <v>New</v>
          </cell>
          <cell r="H20">
            <v>31</v>
          </cell>
          <cell r="I20">
            <v>0</v>
          </cell>
          <cell r="J20">
            <v>31</v>
          </cell>
          <cell r="K20">
            <v>0</v>
          </cell>
          <cell r="L20">
            <v>0</v>
          </cell>
          <cell r="M20">
            <v>0</v>
          </cell>
          <cell r="N20">
            <v>0</v>
          </cell>
          <cell r="O20">
            <v>0</v>
          </cell>
          <cell r="P20" t="str">
            <v>GBP</v>
          </cell>
          <cell r="Q20">
            <v>0</v>
          </cell>
          <cell r="R20">
            <v>0</v>
          </cell>
          <cell r="S20">
            <v>2</v>
          </cell>
          <cell r="T20">
            <v>2</v>
          </cell>
          <cell r="U20" t="str">
            <v>Low conversion</v>
          </cell>
          <cell r="V20">
            <v>405.99</v>
          </cell>
          <cell r="W20">
            <v>399.99</v>
          </cell>
          <cell r="X20">
            <v>399.99</v>
          </cell>
          <cell r="Y20">
            <v>304.49</v>
          </cell>
          <cell r="Z20" t="str">
            <v>Lower price</v>
          </cell>
          <cell r="AA20">
            <v>0</v>
          </cell>
          <cell r="AB20">
            <v>288.09</v>
          </cell>
          <cell r="AC20">
            <v>52</v>
          </cell>
          <cell r="AD20">
            <v>0</v>
          </cell>
          <cell r="AE20">
            <v>7703.52</v>
          </cell>
          <cell r="AF20">
            <v>0.12</v>
          </cell>
          <cell r="AG20">
            <v>0.081577</v>
          </cell>
          <cell r="AH20" t="str">
            <v>cubic feet</v>
          </cell>
          <cell r="AI20" t="str">
            <v>Standard</v>
          </cell>
          <cell r="AJ20">
            <v>2.528887</v>
          </cell>
          <cell r="AK20" t="str">
            <v>UK</v>
          </cell>
          <cell r="AL20" t="str">
            <v>gl_biss</v>
          </cell>
          <cell r="AM20">
            <v>87370</v>
          </cell>
          <cell r="AN20">
            <v>366</v>
          </cell>
          <cell r="AO20">
            <v>0</v>
          </cell>
        </row>
        <row r="20">
          <cell r="AQ20">
            <v>201</v>
          </cell>
          <cell r="AR20">
            <v>399.99</v>
          </cell>
          <cell r="AS20">
            <v>0</v>
          </cell>
          <cell r="AT20">
            <v>0</v>
          </cell>
          <cell r="AU20">
            <v>682.1</v>
          </cell>
          <cell r="AV20">
            <v>682.1</v>
          </cell>
          <cell r="AW20">
            <v>2</v>
          </cell>
          <cell r="AX20">
            <v>29</v>
          </cell>
          <cell r="AY20">
            <v>0</v>
          </cell>
          <cell r="AZ20">
            <v>0</v>
          </cell>
          <cell r="BA20">
            <v>0</v>
          </cell>
          <cell r="BB20">
            <v>7.07</v>
          </cell>
          <cell r="BC20">
            <v>0</v>
          </cell>
          <cell r="BD20">
            <v>0</v>
          </cell>
          <cell r="BE20">
            <v>0</v>
          </cell>
          <cell r="BF20">
            <v>0</v>
          </cell>
          <cell r="BG20">
            <v>0</v>
          </cell>
          <cell r="BH20">
            <v>0</v>
          </cell>
        </row>
        <row r="20">
          <cell r="BU20">
            <v>992</v>
          </cell>
          <cell r="BV20">
            <v>0</v>
          </cell>
        </row>
        <row r="20">
          <cell r="BX20">
            <v>46180</v>
          </cell>
          <cell r="BY20">
            <v>929</v>
          </cell>
          <cell r="BZ20">
            <v>992</v>
          </cell>
          <cell r="CA20">
            <v>46183</v>
          </cell>
          <cell r="CB20">
            <v>31</v>
          </cell>
          <cell r="CC20">
            <v>0</v>
          </cell>
          <cell r="CD20">
            <v>0</v>
          </cell>
          <cell r="CE20">
            <v>0</v>
          </cell>
          <cell r="CF20">
            <v>0</v>
          </cell>
          <cell r="CG20">
            <v>366</v>
          </cell>
          <cell r="CH20" t="str">
            <v>N</v>
          </cell>
        </row>
        <row r="21">
          <cell r="A21" t="str">
            <v>X0029HGEP5</v>
          </cell>
          <cell r="B21">
            <v>46185</v>
          </cell>
          <cell r="C21" t="str">
            <v>amzn.gr.lynx-s-qBgCvBfYrLU1RY3PkZePWZ-VG</v>
          </cell>
          <cell r="D21" t="str">
            <v>X0029HGEP5</v>
          </cell>
          <cell r="E21" t="str">
            <v>B0C9J2R9TX</v>
          </cell>
          <cell r="F21" t="str">
            <v>3DMakerpro Lynx 3D Scanner Large Scanning Range 0.1mm Accuracy &amp; 10FPS Scan Speed Portable 3D Scanner for 3D Printing Model, Fast Scan Result with User-friendly Software - Standard Kit</v>
          </cell>
          <cell r="G21" t="str">
            <v>Used</v>
          </cell>
          <cell r="H21">
            <v>1</v>
          </cell>
          <cell r="I21">
            <v>0</v>
          </cell>
          <cell r="J21">
            <v>0</v>
          </cell>
          <cell r="K21">
            <v>0</v>
          </cell>
          <cell r="L21">
            <v>0</v>
          </cell>
          <cell r="M21">
            <v>0</v>
          </cell>
          <cell r="N21">
            <v>1</v>
          </cell>
          <cell r="O21">
            <v>0</v>
          </cell>
          <cell r="P21" t="str">
            <v>GBP</v>
          </cell>
        </row>
        <row r="21">
          <cell r="U21" t="str">
            <v>Low traffic</v>
          </cell>
          <cell r="V21">
            <v>299.4</v>
          </cell>
          <cell r="W21">
            <v>0</v>
          </cell>
          <cell r="X21">
            <v>0</v>
          </cell>
          <cell r="Y21">
            <v>299.4</v>
          </cell>
          <cell r="Z21" t="str">
            <v>Advertise listing</v>
          </cell>
          <cell r="AA21">
            <v>0</v>
          </cell>
          <cell r="AB21">
            <v>239.52</v>
          </cell>
          <cell r="AC21">
            <v>9</v>
          </cell>
          <cell r="AD21">
            <v>0</v>
          </cell>
          <cell r="AE21">
            <v>156.01</v>
          </cell>
          <cell r="AF21">
            <v>0</v>
          </cell>
          <cell r="AG21">
            <v>0.549815</v>
          </cell>
          <cell r="AH21" t="str">
            <v>cubic feet</v>
          </cell>
          <cell r="AI21" t="str">
            <v>Standard</v>
          </cell>
          <cell r="AJ21">
            <v>0.549815</v>
          </cell>
          <cell r="AK21" t="str">
            <v>UK</v>
          </cell>
          <cell r="AL21" t="str">
            <v>gl_biss</v>
          </cell>
        </row>
        <row r="21">
          <cell r="AN21">
            <v>22</v>
          </cell>
          <cell r="AO21">
            <v>0</v>
          </cell>
        </row>
        <row r="21">
          <cell r="AR21">
            <v>299.4</v>
          </cell>
        </row>
        <row r="21">
          <cell r="AW21">
            <v>0</v>
          </cell>
          <cell r="AX21">
            <v>0</v>
          </cell>
          <cell r="AY21">
            <v>0</v>
          </cell>
          <cell r="AZ21">
            <v>0</v>
          </cell>
          <cell r="BA21">
            <v>0</v>
          </cell>
          <cell r="BB21">
            <v>4.68</v>
          </cell>
          <cell r="BC21">
            <v>0</v>
          </cell>
          <cell r="BD21">
            <v>0</v>
          </cell>
          <cell r="BE21">
            <v>0</v>
          </cell>
          <cell r="BF21">
            <v>0</v>
          </cell>
          <cell r="BG21">
            <v>0</v>
          </cell>
          <cell r="BH21">
            <v>0</v>
          </cell>
          <cell r="BI21">
            <v>0</v>
          </cell>
          <cell r="BJ21">
            <v>0</v>
          </cell>
          <cell r="BK21">
            <v>0</v>
          </cell>
          <cell r="BL21">
            <v>0</v>
          </cell>
          <cell r="BM21">
            <v>0</v>
          </cell>
          <cell r="BN21">
            <v>0</v>
          </cell>
          <cell r="BO21">
            <v>0</v>
          </cell>
          <cell r="BP21">
            <v>0</v>
          </cell>
          <cell r="BQ21">
            <v>1</v>
          </cell>
          <cell r="BR21">
            <v>3.14</v>
          </cell>
          <cell r="BS21">
            <v>0</v>
          </cell>
          <cell r="BT21">
            <v>0</v>
          </cell>
        </row>
        <row r="21">
          <cell r="BV21">
            <v>3</v>
          </cell>
          <cell r="BW21">
            <v>46161</v>
          </cell>
        </row>
        <row r="21">
          <cell r="CA21">
            <v>46183</v>
          </cell>
          <cell r="CB21">
            <v>1</v>
          </cell>
          <cell r="CC21">
            <v>0</v>
          </cell>
          <cell r="CD21">
            <v>0</v>
          </cell>
          <cell r="CE21">
            <v>0</v>
          </cell>
          <cell r="CF21">
            <v>0</v>
          </cell>
          <cell r="CG21">
            <v>22</v>
          </cell>
          <cell r="CH21" t="str">
            <v>N</v>
          </cell>
        </row>
        <row r="22">
          <cell r="A22" t="str">
            <v>X0020GS5M5</v>
          </cell>
          <cell r="B22">
            <v>46185</v>
          </cell>
          <cell r="C22" t="str">
            <v>UK Moose Standard</v>
          </cell>
          <cell r="D22" t="str">
            <v>X0020GS5M5</v>
          </cell>
          <cell r="E22" t="str">
            <v>B0D2H6SXLZ</v>
          </cell>
          <cell r="F22" t="str">
            <v>Handheld 3D Scanner for 3D Printing, 3D Model Scanner with 0.03mm High Detailed Precision, 24-bit Color Camera, Anti-Shake Lenses, Compatible with Windows/MacOS, 3DMakerpro [Moose Standard Package]</v>
          </cell>
          <cell r="G22" t="str">
            <v>New</v>
          </cell>
          <cell r="H22">
            <v>33</v>
          </cell>
          <cell r="I22">
            <v>0</v>
          </cell>
          <cell r="J22">
            <v>0</v>
          </cell>
          <cell r="K22">
            <v>0</v>
          </cell>
          <cell r="L22">
            <v>0</v>
          </cell>
          <cell r="M22">
            <v>0</v>
          </cell>
          <cell r="N22">
            <v>0</v>
          </cell>
          <cell r="O22">
            <v>53</v>
          </cell>
          <cell r="P22" t="str">
            <v>GBP</v>
          </cell>
          <cell r="Q22">
            <v>0</v>
          </cell>
          <cell r="R22">
            <v>0</v>
          </cell>
          <cell r="S22">
            <v>0</v>
          </cell>
          <cell r="T22">
            <v>0</v>
          </cell>
          <cell r="U22" t="str">
            <v>Low traffic</v>
          </cell>
          <cell r="V22">
            <v>699.99</v>
          </cell>
          <cell r="W22">
            <v>599.99</v>
          </cell>
          <cell r="X22">
            <v>599.99</v>
          </cell>
          <cell r="Y22">
            <v>0</v>
          </cell>
          <cell r="Z22" t="str">
            <v>Create removal order</v>
          </cell>
          <cell r="AA22">
            <v>0</v>
          </cell>
          <cell r="AB22">
            <v>0</v>
          </cell>
          <cell r="AC22">
            <v>0</v>
          </cell>
          <cell r="AD22">
            <v>0</v>
          </cell>
          <cell r="AE22">
            <v>14199.14</v>
          </cell>
          <cell r="AF22">
            <v>0</v>
          </cell>
          <cell r="AG22">
            <v>0.060986</v>
          </cell>
          <cell r="AH22" t="str">
            <v>cubic feet</v>
          </cell>
        </row>
        <row r="22">
          <cell r="AJ22">
            <v>2.012538</v>
          </cell>
          <cell r="AK22" t="str">
            <v>UK</v>
          </cell>
          <cell r="AL22" t="str">
            <v>gl_biss</v>
          </cell>
          <cell r="AM22">
            <v>165569</v>
          </cell>
          <cell r="AN22">
            <v>366</v>
          </cell>
          <cell r="AO22">
            <v>33</v>
          </cell>
        </row>
        <row r="22">
          <cell r="AR22">
            <v>599.99</v>
          </cell>
          <cell r="AS22">
            <v>0</v>
          </cell>
          <cell r="AT22">
            <v>0</v>
          </cell>
          <cell r="AU22">
            <v>0</v>
          </cell>
          <cell r="AV22">
            <v>0</v>
          </cell>
          <cell r="AW22">
            <v>0</v>
          </cell>
          <cell r="AX22">
            <v>0</v>
          </cell>
          <cell r="AY22">
            <v>0</v>
          </cell>
          <cell r="AZ22">
            <v>0</v>
          </cell>
          <cell r="BA22">
            <v>0</v>
          </cell>
          <cell r="BB22">
            <v>28.88</v>
          </cell>
          <cell r="BC22">
            <v>0</v>
          </cell>
          <cell r="BD22">
            <v>0</v>
          </cell>
          <cell r="BE22">
            <v>0</v>
          </cell>
          <cell r="BF22">
            <v>0</v>
          </cell>
          <cell r="BG22">
            <v>20</v>
          </cell>
          <cell r="BH22">
            <v>0</v>
          </cell>
          <cell r="BI22">
            <v>0</v>
          </cell>
          <cell r="BJ22">
            <v>0</v>
          </cell>
          <cell r="BK22">
            <v>0</v>
          </cell>
          <cell r="BL22">
            <v>0</v>
          </cell>
          <cell r="BM22">
            <v>0</v>
          </cell>
          <cell r="BN22">
            <v>0</v>
          </cell>
          <cell r="BO22">
            <v>0</v>
          </cell>
          <cell r="BP22">
            <v>0</v>
          </cell>
          <cell r="BQ22">
            <v>0</v>
          </cell>
          <cell r="BR22">
            <v>0</v>
          </cell>
          <cell r="BS22">
            <v>53</v>
          </cell>
          <cell r="BT22">
            <v>19.85</v>
          </cell>
        </row>
        <row r="22">
          <cell r="BV22">
            <v>0</v>
          </cell>
        </row>
        <row r="22">
          <cell r="CA22">
            <v>46183</v>
          </cell>
          <cell r="CB22">
            <v>33</v>
          </cell>
          <cell r="CC22">
            <v>0</v>
          </cell>
          <cell r="CD22">
            <v>0</v>
          </cell>
          <cell r="CE22">
            <v>0</v>
          </cell>
          <cell r="CF22">
            <v>20</v>
          </cell>
          <cell r="CG22">
            <v>366</v>
          </cell>
          <cell r="CH22" t="str">
            <v>N</v>
          </cell>
        </row>
        <row r="23">
          <cell r="A23" t="str">
            <v>X001VV9M5J</v>
          </cell>
          <cell r="B23">
            <v>46185</v>
          </cell>
          <cell r="C23" t="str">
            <v>sgrip</v>
          </cell>
          <cell r="D23" t="str">
            <v>X001VV9M5J</v>
          </cell>
          <cell r="E23" t="str">
            <v>B0CKSFZ34Y</v>
          </cell>
          <cell r="F23" t="str">
            <v>3DMakerpro Smart Grip for 3D Scanner Seal/Seal Lite Series</v>
          </cell>
          <cell r="G23" t="str">
            <v>New</v>
          </cell>
          <cell r="H23">
            <v>16</v>
          </cell>
          <cell r="I23">
            <v>0</v>
          </cell>
          <cell r="J23">
            <v>12</v>
          </cell>
          <cell r="K23">
            <v>0</v>
          </cell>
          <cell r="L23">
            <v>0</v>
          </cell>
          <cell r="M23">
            <v>0</v>
          </cell>
          <cell r="N23">
            <v>0</v>
          </cell>
          <cell r="O23">
            <v>4</v>
          </cell>
          <cell r="P23" t="str">
            <v>GBP</v>
          </cell>
          <cell r="Q23">
            <v>0</v>
          </cell>
          <cell r="R23">
            <v>0</v>
          </cell>
          <cell r="S23">
            <v>1</v>
          </cell>
          <cell r="T23">
            <v>2</v>
          </cell>
          <cell r="U23" t="str">
            <v>Low traffic</v>
          </cell>
          <cell r="V23">
            <v>299.99</v>
          </cell>
          <cell r="W23">
            <v>0</v>
          </cell>
          <cell r="X23">
            <v>299.99</v>
          </cell>
          <cell r="Y23">
            <v>0</v>
          </cell>
          <cell r="Z23" t="str">
            <v>Advertise listing</v>
          </cell>
          <cell r="AA23">
            <v>0</v>
          </cell>
          <cell r="AB23">
            <v>218.07</v>
          </cell>
          <cell r="AC23">
            <v>52</v>
          </cell>
          <cell r="AD23">
            <v>0</v>
          </cell>
          <cell r="AE23">
            <v>2816.27</v>
          </cell>
          <cell r="AF23">
            <v>0.19</v>
          </cell>
          <cell r="AG23">
            <v>0.036775</v>
          </cell>
          <cell r="AH23" t="str">
            <v>cubic feet</v>
          </cell>
          <cell r="AI23" t="str">
            <v>Standard</v>
          </cell>
          <cell r="AJ23">
            <v>0.5884</v>
          </cell>
          <cell r="AK23" t="str">
            <v>UK</v>
          </cell>
          <cell r="AL23" t="str">
            <v>gl_electronics</v>
          </cell>
          <cell r="AM23">
            <v>148661</v>
          </cell>
          <cell r="AN23">
            <v>366</v>
          </cell>
          <cell r="AO23">
            <v>16</v>
          </cell>
        </row>
        <row r="23">
          <cell r="AQ23">
            <v>104</v>
          </cell>
          <cell r="AR23">
            <v>299.99</v>
          </cell>
          <cell r="AS23">
            <v>0</v>
          </cell>
          <cell r="AT23">
            <v>0</v>
          </cell>
          <cell r="AU23">
            <v>249.17</v>
          </cell>
          <cell r="AV23">
            <v>498.34</v>
          </cell>
          <cell r="AW23">
            <v>0</v>
          </cell>
          <cell r="AX23">
            <v>12</v>
          </cell>
          <cell r="AY23">
            <v>0</v>
          </cell>
          <cell r="AZ23">
            <v>0</v>
          </cell>
          <cell r="BA23">
            <v>0</v>
          </cell>
          <cell r="BB23">
            <v>1.3</v>
          </cell>
          <cell r="BC23">
            <v>0</v>
          </cell>
          <cell r="BD23">
            <v>0</v>
          </cell>
          <cell r="BE23">
            <v>0</v>
          </cell>
          <cell r="BF23">
            <v>0</v>
          </cell>
          <cell r="BG23">
            <v>0</v>
          </cell>
          <cell r="BH23">
            <v>0</v>
          </cell>
          <cell r="BI23">
            <v>0</v>
          </cell>
          <cell r="BJ23">
            <v>0</v>
          </cell>
          <cell r="BK23">
            <v>0</v>
          </cell>
          <cell r="BL23">
            <v>0</v>
          </cell>
          <cell r="BM23">
            <v>0</v>
          </cell>
          <cell r="BN23">
            <v>0</v>
          </cell>
          <cell r="BO23">
            <v>0</v>
          </cell>
          <cell r="BP23">
            <v>0</v>
          </cell>
          <cell r="BQ23">
            <v>0</v>
          </cell>
          <cell r="BR23">
            <v>0</v>
          </cell>
          <cell r="BS23">
            <v>4</v>
          </cell>
          <cell r="BT23">
            <v>1</v>
          </cell>
          <cell r="BU23">
            <v>483</v>
          </cell>
          <cell r="BV23">
            <v>0</v>
          </cell>
        </row>
        <row r="23">
          <cell r="BX23">
            <v>46180</v>
          </cell>
          <cell r="BY23">
            <v>483</v>
          </cell>
          <cell r="BZ23">
            <v>411</v>
          </cell>
          <cell r="CA23">
            <v>46183</v>
          </cell>
          <cell r="CB23">
            <v>16</v>
          </cell>
          <cell r="CC23">
            <v>0</v>
          </cell>
          <cell r="CD23">
            <v>0</v>
          </cell>
          <cell r="CE23">
            <v>0</v>
          </cell>
          <cell r="CF23">
            <v>0</v>
          </cell>
          <cell r="CG23">
            <v>366</v>
          </cell>
          <cell r="CH23" t="str">
            <v>N</v>
          </cell>
        </row>
      </sheetData>
      <sheetData sheetId="12">
        <row r="1">
          <cell r="A1" t="str">
            <v>商品编码</v>
          </cell>
          <cell r="B1" t="str">
            <v>参考编码</v>
          </cell>
          <cell r="C1" t="str">
            <v>谷仓商品条码</v>
          </cell>
          <cell r="D1" t="str">
            <v>商品合规状态</v>
          </cell>
          <cell r="E1" t="str">
            <v>商品中文名称</v>
          </cell>
          <cell r="F1" t="str">
            <v>商品英文名称</v>
          </cell>
          <cell r="G1" t="str">
            <v>商品状态</v>
          </cell>
          <cell r="H1" t="str">
            <v>仓库（区域）代码</v>
          </cell>
          <cell r="I1" t="str">
            <v>仓库（区域）名称</v>
          </cell>
          <cell r="J1" t="str">
            <v>预警库存(良品)</v>
          </cell>
          <cell r="K1" t="str">
            <v>海外在途</v>
          </cell>
          <cell r="L1" t="str">
            <v>总在途</v>
          </cell>
          <cell r="M1" t="str">
            <v>中转在途</v>
          </cell>
          <cell r="N1" t="str">
            <v>冻结</v>
          </cell>
          <cell r="O1" t="str">
            <v>良品可售</v>
          </cell>
          <cell r="P1" t="str">
            <v>良品待出库/预占</v>
          </cell>
        </row>
        <row r="2">
          <cell r="A2" t="str">
            <v>6975925240180</v>
          </cell>
          <cell r="B2" t="str">
            <v>1021900085</v>
          </cell>
          <cell r="C2" t="str">
            <v>G10068-6975925240180</v>
          </cell>
          <cell r="D2" t="str">
            <v>正常</v>
          </cell>
          <cell r="E2" t="str">
            <v>设备线缆 Device cable for 3D Scanner</v>
          </cell>
          <cell r="F2" t="str">
            <v>Device cable for 3D Scanner</v>
          </cell>
          <cell r="G2" t="str">
            <v>可用</v>
          </cell>
          <cell r="H2" t="str">
            <v>USWE</v>
          </cell>
          <cell r="I2" t="str">
            <v>加州区</v>
          </cell>
          <cell r="J2">
            <v>0</v>
          </cell>
          <cell r="K2">
            <v>0</v>
          </cell>
          <cell r="L2">
            <v>0</v>
          </cell>
          <cell r="M2">
            <v>0</v>
          </cell>
          <cell r="N2">
            <v>0</v>
          </cell>
          <cell r="O2">
            <v>0</v>
          </cell>
          <cell r="P2">
            <v>0</v>
          </cell>
        </row>
        <row r="3">
          <cell r="A3" t="str">
            <v>6975925240166</v>
          </cell>
          <cell r="B3" t="str">
            <v>1300100045</v>
          </cell>
          <cell r="C3" t="str">
            <v>G10068-6975925240166</v>
          </cell>
          <cell r="D3" t="str">
            <v>正常</v>
          </cell>
          <cell r="E3" t="str">
            <v>三维扫描仪 Lynx 3D Scanner Premium</v>
          </cell>
          <cell r="F3" t="str">
            <v>Lynx 3D Scanner Premium</v>
          </cell>
          <cell r="G3" t="str">
            <v>可用</v>
          </cell>
          <cell r="H3" t="str">
            <v>USWE</v>
          </cell>
          <cell r="I3" t="str">
            <v>加州区</v>
          </cell>
          <cell r="J3">
            <v>0</v>
          </cell>
          <cell r="K3">
            <v>0</v>
          </cell>
          <cell r="L3">
            <v>0</v>
          </cell>
          <cell r="M3">
            <v>0</v>
          </cell>
          <cell r="N3">
            <v>0</v>
          </cell>
          <cell r="O3">
            <v>0</v>
          </cell>
          <cell r="P3">
            <v>0</v>
          </cell>
        </row>
        <row r="4">
          <cell r="A4" t="str">
            <v>6975925240173</v>
          </cell>
          <cell r="B4" t="str">
            <v>1300100046</v>
          </cell>
          <cell r="C4" t="str">
            <v>G10068-6975925240173</v>
          </cell>
          <cell r="D4" t="str">
            <v>正常</v>
          </cell>
          <cell r="E4" t="str">
            <v>三维扫描仪 Lynx 3D Scanner Luxury</v>
          </cell>
          <cell r="F4" t="str">
            <v>Lynx 3D Scanner Luxury</v>
          </cell>
          <cell r="G4" t="str">
            <v>可用</v>
          </cell>
          <cell r="H4" t="str">
            <v>USWE</v>
          </cell>
          <cell r="I4" t="str">
            <v>加州区</v>
          </cell>
          <cell r="J4">
            <v>0</v>
          </cell>
          <cell r="K4">
            <v>0</v>
          </cell>
          <cell r="L4">
            <v>0</v>
          </cell>
          <cell r="M4">
            <v>0</v>
          </cell>
          <cell r="N4">
            <v>0</v>
          </cell>
          <cell r="O4">
            <v>0</v>
          </cell>
          <cell r="P4">
            <v>0</v>
          </cell>
        </row>
        <row r="5">
          <cell r="A5" t="str">
            <v>6975925240197</v>
          </cell>
          <cell r="B5" t="str">
            <v>1300100059</v>
          </cell>
          <cell r="C5" t="str">
            <v>G10068-6975925240197</v>
          </cell>
          <cell r="D5" t="str">
            <v>正常</v>
          </cell>
          <cell r="E5" t="str">
            <v>三维扫描仪 Lynx 3D Scanner Standard</v>
          </cell>
          <cell r="F5" t="str">
            <v>Lynx 3D Scanner Standard</v>
          </cell>
          <cell r="G5" t="str">
            <v>可用</v>
          </cell>
          <cell r="H5" t="str">
            <v>USWE</v>
          </cell>
          <cell r="I5" t="str">
            <v>加州区</v>
          </cell>
          <cell r="J5">
            <v>0</v>
          </cell>
          <cell r="K5">
            <v>0</v>
          </cell>
          <cell r="L5">
            <v>0</v>
          </cell>
          <cell r="M5">
            <v>0</v>
          </cell>
          <cell r="N5">
            <v>0</v>
          </cell>
          <cell r="O5">
            <v>0</v>
          </cell>
          <cell r="P5">
            <v>0</v>
          </cell>
        </row>
        <row r="6">
          <cell r="A6" t="str">
            <v>6975925240135</v>
          </cell>
          <cell r="B6" t="str">
            <v>1300100044</v>
          </cell>
          <cell r="C6" t="str">
            <v>G10068-6975925240135</v>
          </cell>
          <cell r="D6" t="str">
            <v>正常</v>
          </cell>
          <cell r="E6" t="str">
            <v>三维扫描仪 MOLE 3D Scanner Standard</v>
          </cell>
          <cell r="F6" t="str">
            <v>3D SCANNER Mole Standard</v>
          </cell>
          <cell r="G6" t="str">
            <v>可用</v>
          </cell>
          <cell r="H6" t="str">
            <v>USWE</v>
          </cell>
          <cell r="I6" t="str">
            <v>加州区</v>
          </cell>
          <cell r="J6">
            <v>0</v>
          </cell>
          <cell r="K6">
            <v>0</v>
          </cell>
          <cell r="L6">
            <v>0</v>
          </cell>
          <cell r="M6">
            <v>0</v>
          </cell>
          <cell r="N6">
            <v>0</v>
          </cell>
          <cell r="O6">
            <v>0</v>
          </cell>
          <cell r="P6">
            <v>0</v>
          </cell>
        </row>
        <row r="7">
          <cell r="A7" t="str">
            <v>6975925240142</v>
          </cell>
          <cell r="B7" t="str">
            <v>1300100038</v>
          </cell>
          <cell r="C7" t="str">
            <v>G10068-6975925240142</v>
          </cell>
          <cell r="D7" t="str">
            <v>正常</v>
          </cell>
          <cell r="E7" t="str">
            <v>三维扫描仪 MOLE 3D Scanner Premium</v>
          </cell>
          <cell r="F7" t="str">
            <v>3D SCANNER Mole Premium</v>
          </cell>
          <cell r="G7" t="str">
            <v>可用</v>
          </cell>
          <cell r="H7" t="str">
            <v>USWE</v>
          </cell>
          <cell r="I7" t="str">
            <v>加州区</v>
          </cell>
          <cell r="J7">
            <v>0</v>
          </cell>
          <cell r="K7">
            <v>0</v>
          </cell>
          <cell r="L7">
            <v>0</v>
          </cell>
          <cell r="M7">
            <v>0</v>
          </cell>
          <cell r="N7">
            <v>0</v>
          </cell>
          <cell r="O7">
            <v>0</v>
          </cell>
          <cell r="P7">
            <v>0</v>
          </cell>
        </row>
        <row r="8">
          <cell r="A8" t="str">
            <v>6975925240159</v>
          </cell>
          <cell r="B8" t="str">
            <v>1300100039</v>
          </cell>
          <cell r="C8" t="str">
            <v>G10068-6975925240159</v>
          </cell>
          <cell r="D8" t="str">
            <v>正常</v>
          </cell>
          <cell r="E8" t="str">
            <v>三维扫描仪 MOLE 3D Scanner Luxury</v>
          </cell>
          <cell r="F8" t="str">
            <v>3D SCANNER Mole Luxury</v>
          </cell>
          <cell r="G8" t="str">
            <v>可用</v>
          </cell>
          <cell r="H8" t="str">
            <v>USWE</v>
          </cell>
          <cell r="I8" t="str">
            <v>加州区</v>
          </cell>
          <cell r="J8">
            <v>0</v>
          </cell>
          <cell r="K8">
            <v>0</v>
          </cell>
          <cell r="L8">
            <v>0</v>
          </cell>
          <cell r="M8">
            <v>0</v>
          </cell>
          <cell r="N8">
            <v>0</v>
          </cell>
          <cell r="O8">
            <v>0</v>
          </cell>
          <cell r="P8">
            <v>0</v>
          </cell>
        </row>
        <row r="9">
          <cell r="A9" t="str">
            <v>6975925240203</v>
          </cell>
          <cell r="B9" t="str">
            <v>1300100048</v>
          </cell>
          <cell r="C9" t="str">
            <v>G10068-6975925240203</v>
          </cell>
          <cell r="D9" t="str">
            <v>正常</v>
          </cell>
          <cell r="E9" t="str">
            <v>Mole Connect手机云台(安卓版)</v>
          </cell>
          <cell r="F9" t="str">
            <v>Mole Connect for Android</v>
          </cell>
          <cell r="G9" t="str">
            <v>可用</v>
          </cell>
          <cell r="H9" t="str">
            <v>USWE</v>
          </cell>
          <cell r="I9" t="str">
            <v>加州区</v>
          </cell>
          <cell r="J9">
            <v>0</v>
          </cell>
          <cell r="K9">
            <v>0</v>
          </cell>
          <cell r="L9">
            <v>0</v>
          </cell>
          <cell r="M9">
            <v>0</v>
          </cell>
          <cell r="N9">
            <v>0</v>
          </cell>
          <cell r="O9">
            <v>42</v>
          </cell>
          <cell r="P9">
            <v>0</v>
          </cell>
        </row>
        <row r="10">
          <cell r="A10" t="str">
            <v>6975925240210</v>
          </cell>
          <cell r="B10" t="str">
            <v>1300100047</v>
          </cell>
          <cell r="C10" t="str">
            <v>G10068-6975925240210</v>
          </cell>
          <cell r="D10" t="str">
            <v>正常</v>
          </cell>
          <cell r="E10" t="str">
            <v>Mole Connect手机云台(苹果版)</v>
          </cell>
          <cell r="F10" t="str">
            <v>Mole Connect for iOS</v>
          </cell>
          <cell r="G10" t="str">
            <v>可用</v>
          </cell>
          <cell r="H10" t="str">
            <v>USWE</v>
          </cell>
          <cell r="I10" t="str">
            <v>加州区</v>
          </cell>
          <cell r="J10">
            <v>0</v>
          </cell>
          <cell r="K10">
            <v>0</v>
          </cell>
          <cell r="L10">
            <v>0</v>
          </cell>
          <cell r="M10">
            <v>0</v>
          </cell>
          <cell r="N10">
            <v>0</v>
          </cell>
          <cell r="O10">
            <v>94</v>
          </cell>
          <cell r="P10">
            <v>0</v>
          </cell>
        </row>
        <row r="11">
          <cell r="A11" t="str">
            <v>6975925240579</v>
          </cell>
          <cell r="B11" t="str">
            <v>1300100087</v>
          </cell>
          <cell r="C11" t="str">
            <v>G10068-6975925240579</v>
          </cell>
          <cell r="D11" t="str">
            <v>正常</v>
          </cell>
          <cell r="E11" t="str">
            <v>三维扫描仪Seal 基础款（美规）</v>
          </cell>
          <cell r="F11" t="str">
            <v>3D Scanner Seal Standard(US)</v>
          </cell>
          <cell r="G11" t="str">
            <v>可用</v>
          </cell>
          <cell r="H11" t="str">
            <v>USWE</v>
          </cell>
          <cell r="I11" t="str">
            <v>加州区</v>
          </cell>
          <cell r="J11">
            <v>0</v>
          </cell>
          <cell r="K11">
            <v>0</v>
          </cell>
          <cell r="L11">
            <v>0</v>
          </cell>
          <cell r="M11">
            <v>0</v>
          </cell>
          <cell r="N11">
            <v>0</v>
          </cell>
          <cell r="O11">
            <v>0</v>
          </cell>
          <cell r="P11">
            <v>0</v>
          </cell>
        </row>
        <row r="12">
          <cell r="A12" t="str">
            <v>6975925240654</v>
          </cell>
          <cell r="B12" t="str">
            <v>1300100086</v>
          </cell>
          <cell r="C12" t="str">
            <v>G10068-6975925240654</v>
          </cell>
          <cell r="D12" t="str">
            <v>正常</v>
          </cell>
          <cell r="E12" t="str">
            <v>3D Scanner Seal Lite Standard(US)</v>
          </cell>
          <cell r="F12" t="str">
            <v>3D Scanner Seal Lite Standard(US)</v>
          </cell>
          <cell r="G12" t="str">
            <v>可用</v>
          </cell>
          <cell r="H12" t="str">
            <v>USWE</v>
          </cell>
          <cell r="I12" t="str">
            <v>加州区</v>
          </cell>
          <cell r="J12">
            <v>0</v>
          </cell>
          <cell r="K12">
            <v>0</v>
          </cell>
          <cell r="L12">
            <v>0</v>
          </cell>
          <cell r="M12">
            <v>0</v>
          </cell>
          <cell r="N12">
            <v>0</v>
          </cell>
          <cell r="O12">
            <v>0</v>
          </cell>
          <cell r="P12">
            <v>0</v>
          </cell>
        </row>
        <row r="13">
          <cell r="A13" t="str">
            <v>6975925240746</v>
          </cell>
          <cell r="B13" t="str">
            <v>1300100118</v>
          </cell>
          <cell r="C13" t="str">
            <v>G10068-6975925240746</v>
          </cell>
          <cell r="D13" t="str">
            <v>正常</v>
          </cell>
          <cell r="E13" t="str">
            <v>Seal/Seal Lite转台</v>
          </cell>
          <cell r="F13" t="str">
            <v>Turntable for Seal/Seal Lite</v>
          </cell>
          <cell r="G13" t="str">
            <v>可用</v>
          </cell>
          <cell r="H13" t="str">
            <v>USWE</v>
          </cell>
          <cell r="I13" t="str">
            <v>加州区</v>
          </cell>
          <cell r="J13">
            <v>0</v>
          </cell>
          <cell r="K13">
            <v>300</v>
          </cell>
          <cell r="L13">
            <v>300</v>
          </cell>
          <cell r="M13">
            <v>0</v>
          </cell>
          <cell r="N13">
            <v>0</v>
          </cell>
          <cell r="O13">
            <v>92</v>
          </cell>
          <cell r="P13">
            <v>0</v>
          </cell>
        </row>
        <row r="14">
          <cell r="A14" t="str">
            <v>6975925240753</v>
          </cell>
          <cell r="B14" t="str">
            <v>1200100064</v>
          </cell>
          <cell r="C14" t="str">
            <v>G10068-6975925240753</v>
          </cell>
          <cell r="D14" t="str">
            <v>正常</v>
          </cell>
          <cell r="E14" t="str">
            <v>Seal三脚架</v>
          </cell>
          <cell r="F14" t="str">
            <v>Tripod for Seal</v>
          </cell>
          <cell r="G14" t="str">
            <v>可用</v>
          </cell>
          <cell r="H14" t="str">
            <v>USWE</v>
          </cell>
          <cell r="I14" t="str">
            <v>加州区</v>
          </cell>
          <cell r="J14">
            <v>0</v>
          </cell>
          <cell r="K14">
            <v>100</v>
          </cell>
          <cell r="L14">
            <v>100</v>
          </cell>
          <cell r="M14">
            <v>0</v>
          </cell>
          <cell r="N14">
            <v>0</v>
          </cell>
          <cell r="O14">
            <v>25</v>
          </cell>
          <cell r="P14">
            <v>0</v>
          </cell>
        </row>
        <row r="15">
          <cell r="A15" t="str">
            <v>6975925240739</v>
          </cell>
          <cell r="B15" t="str">
            <v>1300100082</v>
          </cell>
          <cell r="C15" t="str">
            <v>G10068-6975925240739</v>
          </cell>
          <cell r="D15" t="str">
            <v>正常</v>
          </cell>
          <cell r="E15" t="str">
            <v>Seal 手柄</v>
          </cell>
          <cell r="F15" t="str">
            <v>Seal Smart Grip</v>
          </cell>
          <cell r="G15" t="str">
            <v>可用</v>
          </cell>
          <cell r="H15" t="str">
            <v>USWE</v>
          </cell>
          <cell r="I15" t="str">
            <v>加州区</v>
          </cell>
          <cell r="J15">
            <v>0</v>
          </cell>
          <cell r="K15">
            <v>60</v>
          </cell>
          <cell r="L15">
            <v>60</v>
          </cell>
          <cell r="M15">
            <v>0</v>
          </cell>
          <cell r="N15">
            <v>0</v>
          </cell>
          <cell r="O15">
            <v>0</v>
          </cell>
          <cell r="P15">
            <v>0</v>
          </cell>
        </row>
        <row r="16">
          <cell r="A16" t="str">
            <v>6975925240029</v>
          </cell>
          <cell r="B16" t="str">
            <v>1300100003</v>
          </cell>
          <cell r="C16" t="str">
            <v>G10068-6975925240029</v>
          </cell>
          <cell r="D16" t="str">
            <v>正常</v>
          </cell>
          <cell r="E16" t="str">
            <v>三维扫描仪Magic Swift Plus黑白款升级版</v>
          </cell>
          <cell r="F16" t="str">
            <v>3D SCANNER Magic Swift Plus  Monochrome Premium</v>
          </cell>
          <cell r="G16" t="str">
            <v>可用</v>
          </cell>
          <cell r="H16" t="str">
            <v>USWE</v>
          </cell>
          <cell r="I16" t="str">
            <v>加州区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</row>
        <row r="17">
          <cell r="A17" t="str">
            <v>6975925240036</v>
          </cell>
          <cell r="B17" t="str">
            <v>1300100017</v>
          </cell>
          <cell r="C17" t="str">
            <v>G10068-6975925240036</v>
          </cell>
          <cell r="D17" t="str">
            <v>正常</v>
          </cell>
          <cell r="E17" t="str">
            <v>三维扫描仪Magic Swift Plus黑白款豪华版</v>
          </cell>
          <cell r="F17" t="str">
            <v>3D SCANNER Magic Swift Plus  Monochrome Luxury</v>
          </cell>
          <cell r="G17" t="str">
            <v>可用</v>
          </cell>
          <cell r="H17" t="str">
            <v>USWE</v>
          </cell>
          <cell r="I17" t="str">
            <v>加州区</v>
          </cell>
          <cell r="J17">
            <v>0</v>
          </cell>
          <cell r="K17">
            <v>0</v>
          </cell>
          <cell r="L17">
            <v>0</v>
          </cell>
          <cell r="M17">
            <v>0</v>
          </cell>
          <cell r="N17">
            <v>0</v>
          </cell>
          <cell r="O17">
            <v>0</v>
          </cell>
          <cell r="P17">
            <v>0</v>
          </cell>
        </row>
        <row r="18">
          <cell r="A18" t="str">
            <v>6975925240227</v>
          </cell>
          <cell r="B18" t="str">
            <v>1300100066</v>
          </cell>
          <cell r="C18" t="str">
            <v>G10068-6975925240227</v>
          </cell>
          <cell r="D18" t="str">
            <v>正常</v>
          </cell>
          <cell r="E18" t="str">
            <v>Mole三脚架</v>
          </cell>
          <cell r="F18" t="str">
            <v>Tripod for Mole</v>
          </cell>
          <cell r="G18" t="str">
            <v>可用</v>
          </cell>
          <cell r="H18" t="str">
            <v>USWE</v>
          </cell>
          <cell r="I18" t="str">
            <v>加州区</v>
          </cell>
          <cell r="J18">
            <v>0</v>
          </cell>
          <cell r="K18">
            <v>0</v>
          </cell>
          <cell r="L18">
            <v>0</v>
          </cell>
          <cell r="M18">
            <v>0</v>
          </cell>
          <cell r="N18">
            <v>0</v>
          </cell>
          <cell r="O18">
            <v>17</v>
          </cell>
          <cell r="P18">
            <v>0</v>
          </cell>
        </row>
        <row r="19">
          <cell r="A19" t="str">
            <v>6975925240265</v>
          </cell>
          <cell r="B19" t="str">
            <v>1300100078</v>
          </cell>
          <cell r="C19" t="str">
            <v>G10068-6975925240265</v>
          </cell>
          <cell r="D19" t="str">
            <v>正常</v>
          </cell>
          <cell r="E19" t="str">
            <v>设备线缆 4m Device cable for Lynx 3D Scanner</v>
          </cell>
          <cell r="F19" t="str">
            <v>4m Device cable for Lynx 3D Scanner</v>
          </cell>
          <cell r="G19" t="str">
            <v>可用</v>
          </cell>
          <cell r="H19" t="str">
            <v>USWE</v>
          </cell>
          <cell r="I19" t="str">
            <v>加州区</v>
          </cell>
          <cell r="J19">
            <v>0</v>
          </cell>
          <cell r="K19">
            <v>0</v>
          </cell>
          <cell r="L19">
            <v>0</v>
          </cell>
          <cell r="M19">
            <v>0</v>
          </cell>
          <cell r="N19">
            <v>0</v>
          </cell>
          <cell r="O19">
            <v>0</v>
          </cell>
          <cell r="P19">
            <v>0</v>
          </cell>
        </row>
        <row r="20">
          <cell r="A20" t="str">
            <v>6975925240272</v>
          </cell>
          <cell r="B20" t="str">
            <v>1300100073</v>
          </cell>
          <cell r="C20" t="str">
            <v>G10068-6975925240272</v>
          </cell>
          <cell r="D20" t="str">
            <v>正常</v>
          </cell>
          <cell r="E20" t="str">
            <v>Lynx三脚架</v>
          </cell>
          <cell r="F20" t="str">
            <v>Tripod for Lynx</v>
          </cell>
          <cell r="G20" t="str">
            <v>可用</v>
          </cell>
          <cell r="H20" t="str">
            <v>USWE</v>
          </cell>
          <cell r="I20" t="str">
            <v>加州区</v>
          </cell>
          <cell r="J20">
            <v>0</v>
          </cell>
          <cell r="K20">
            <v>0</v>
          </cell>
          <cell r="L20">
            <v>0</v>
          </cell>
          <cell r="M20">
            <v>0</v>
          </cell>
          <cell r="N20">
            <v>0</v>
          </cell>
          <cell r="O20">
            <v>28</v>
          </cell>
          <cell r="P20">
            <v>0</v>
          </cell>
        </row>
        <row r="21">
          <cell r="A21" t="str">
            <v>6975925240289</v>
          </cell>
          <cell r="B21" t="str">
            <v>1300100076</v>
          </cell>
          <cell r="C21" t="str">
            <v>G10068-6975925240289</v>
          </cell>
          <cell r="D21" t="str">
            <v>正常</v>
          </cell>
          <cell r="E21" t="str">
            <v>转台Lizard/Mole</v>
          </cell>
          <cell r="F21" t="str">
            <v>Turntable for Lizard/Mole</v>
          </cell>
          <cell r="G21" t="str">
            <v>可用</v>
          </cell>
          <cell r="H21" t="str">
            <v>USWE</v>
          </cell>
          <cell r="I21" t="str">
            <v>加州区</v>
          </cell>
          <cell r="J21">
            <v>0</v>
          </cell>
          <cell r="K21">
            <v>0</v>
          </cell>
          <cell r="L21">
            <v>0</v>
          </cell>
          <cell r="M21">
            <v>0</v>
          </cell>
          <cell r="N21">
            <v>0</v>
          </cell>
          <cell r="O21">
            <v>0</v>
          </cell>
          <cell r="P21">
            <v>0</v>
          </cell>
        </row>
        <row r="22">
          <cell r="A22" t="str">
            <v>6975925240777</v>
          </cell>
          <cell r="B22" t="str">
            <v>1300100139</v>
          </cell>
          <cell r="C22" t="str">
            <v>G10068-6975925240777</v>
          </cell>
          <cell r="D22" t="str">
            <v>正常</v>
          </cell>
          <cell r="E22" t="str">
            <v>Seal双轴转台(美规)</v>
          </cell>
          <cell r="F22" t="str">
            <v>Multi-Axis Turntable for Seal(US)</v>
          </cell>
          <cell r="G22" t="str">
            <v>可用</v>
          </cell>
          <cell r="H22" t="str">
            <v>USWE</v>
          </cell>
          <cell r="I22" t="str">
            <v>加州区</v>
          </cell>
          <cell r="J22">
            <v>0</v>
          </cell>
          <cell r="K22">
            <v>0</v>
          </cell>
          <cell r="L22">
            <v>0</v>
          </cell>
          <cell r="M22">
            <v>0</v>
          </cell>
          <cell r="N22">
            <v>0</v>
          </cell>
          <cell r="O22">
            <v>0</v>
          </cell>
          <cell r="P22">
            <v>0</v>
          </cell>
        </row>
        <row r="23">
          <cell r="A23" t="str">
            <v>6971636401735</v>
          </cell>
          <cell r="B23" t="str">
            <v>6971636401735</v>
          </cell>
          <cell r="C23" t="str">
            <v>G10068-6971636401735</v>
          </cell>
          <cell r="D23" t="str">
            <v>正常</v>
          </cell>
          <cell r="E23" t="str">
            <v>3D打印机K1C</v>
          </cell>
          <cell r="F23" t="str">
            <v>3D Printer K1C</v>
          </cell>
          <cell r="G23" t="str">
            <v>可用</v>
          </cell>
          <cell r="H23" t="str">
            <v>USWE</v>
          </cell>
          <cell r="I23" t="str">
            <v>加州区</v>
          </cell>
          <cell r="J23">
            <v>0</v>
          </cell>
          <cell r="K23">
            <v>0</v>
          </cell>
          <cell r="L23">
            <v>0</v>
          </cell>
          <cell r="M23">
            <v>0</v>
          </cell>
          <cell r="N23">
            <v>0</v>
          </cell>
          <cell r="O23">
            <v>0</v>
          </cell>
          <cell r="P23">
            <v>0</v>
          </cell>
        </row>
        <row r="24">
          <cell r="A24" t="str">
            <v>6971636403128</v>
          </cell>
          <cell r="B24" t="str">
            <v>6971636403128</v>
          </cell>
          <cell r="C24" t="str">
            <v>G10068-6971636403128</v>
          </cell>
          <cell r="D24" t="str">
            <v>正常</v>
          </cell>
          <cell r="E24" t="str">
            <v>3D打印机K1 Max</v>
          </cell>
          <cell r="F24" t="str">
            <v>3D Printer K1 Max</v>
          </cell>
          <cell r="G24" t="str">
            <v>可用</v>
          </cell>
          <cell r="H24" t="str">
            <v>USWE</v>
          </cell>
          <cell r="I24" t="str">
            <v>加州区</v>
          </cell>
          <cell r="J24">
            <v>0</v>
          </cell>
          <cell r="K24">
            <v>0</v>
          </cell>
          <cell r="L24">
            <v>0</v>
          </cell>
          <cell r="M24">
            <v>0</v>
          </cell>
          <cell r="N24">
            <v>0</v>
          </cell>
          <cell r="O24">
            <v>0</v>
          </cell>
          <cell r="P24">
            <v>0</v>
          </cell>
        </row>
        <row r="25">
          <cell r="A25" t="str">
            <v>6971636403623</v>
          </cell>
          <cell r="B25" t="str">
            <v>6971636403623</v>
          </cell>
          <cell r="C25" t="str">
            <v>G10068-6971636403623</v>
          </cell>
          <cell r="D25" t="str">
            <v>正常</v>
          </cell>
          <cell r="E25" t="str">
            <v>3D打印机Ender-3 V3 SE</v>
          </cell>
          <cell r="F25" t="str">
            <v>3D Printer Ender-3 V3 SE</v>
          </cell>
          <cell r="G25" t="str">
            <v>可用</v>
          </cell>
          <cell r="H25" t="str">
            <v>USWE</v>
          </cell>
          <cell r="I25" t="str">
            <v>加州区</v>
          </cell>
          <cell r="J25">
            <v>0</v>
          </cell>
          <cell r="K25">
            <v>0</v>
          </cell>
          <cell r="L25">
            <v>0</v>
          </cell>
          <cell r="M25">
            <v>0</v>
          </cell>
          <cell r="N25">
            <v>0</v>
          </cell>
          <cell r="O25">
            <v>0</v>
          </cell>
          <cell r="P25">
            <v>0</v>
          </cell>
        </row>
        <row r="26">
          <cell r="A26" t="str">
            <v>6975925240814</v>
          </cell>
          <cell r="B26" t="str">
            <v>1300100155</v>
          </cell>
          <cell r="C26" t="str">
            <v>G10068-6975925240814</v>
          </cell>
          <cell r="D26" t="str">
            <v>正常</v>
          </cell>
          <cell r="E26" t="str">
            <v>三维扫描仪Moose基础款(美规)</v>
          </cell>
          <cell r="F26" t="str">
            <v>3D Scanner Moose Standard(US)</v>
          </cell>
          <cell r="G26" t="str">
            <v>可用</v>
          </cell>
          <cell r="H26" t="str">
            <v>USWE</v>
          </cell>
          <cell r="I26" t="str">
            <v>加州区</v>
          </cell>
          <cell r="J26">
            <v>0</v>
          </cell>
          <cell r="K26">
            <v>0</v>
          </cell>
          <cell r="L26">
            <v>0</v>
          </cell>
          <cell r="M26">
            <v>0</v>
          </cell>
          <cell r="N26">
            <v>0</v>
          </cell>
          <cell r="O26">
            <v>0</v>
          </cell>
          <cell r="P26">
            <v>0</v>
          </cell>
        </row>
        <row r="27">
          <cell r="A27" t="str">
            <v>6975925240852</v>
          </cell>
          <cell r="B27" t="str">
            <v>1300100159</v>
          </cell>
          <cell r="C27" t="str">
            <v>G10068-6975925240852</v>
          </cell>
          <cell r="D27" t="str">
            <v>正常</v>
          </cell>
          <cell r="E27" t="str">
            <v>三维扫描仪Moose Lite基础款(美规)</v>
          </cell>
          <cell r="F27" t="str">
            <v>3D Scanner Moose Lite Standard(US)</v>
          </cell>
          <cell r="G27" t="str">
            <v>可用</v>
          </cell>
          <cell r="H27" t="str">
            <v>USWE</v>
          </cell>
          <cell r="I27" t="str">
            <v>加州区</v>
          </cell>
          <cell r="J27">
            <v>0</v>
          </cell>
          <cell r="K27">
            <v>0</v>
          </cell>
          <cell r="L27">
            <v>0</v>
          </cell>
          <cell r="M27">
            <v>0</v>
          </cell>
          <cell r="N27">
            <v>0</v>
          </cell>
          <cell r="O27">
            <v>0</v>
          </cell>
          <cell r="P27">
            <v>0</v>
          </cell>
        </row>
        <row r="28">
          <cell r="A28" t="str">
            <v>6975925241033</v>
          </cell>
          <cell r="B28" t="str">
            <v>1021900174</v>
          </cell>
          <cell r="C28" t="str">
            <v>G10068-6975925241033</v>
          </cell>
          <cell r="D28" t="str">
            <v>正常</v>
          </cell>
          <cell r="E28" t="str">
            <v>智能手柄数据线</v>
          </cell>
          <cell r="F28" t="str">
            <v>Cable for 3D Scanner Smart Grip</v>
          </cell>
          <cell r="G28" t="str">
            <v>可用</v>
          </cell>
          <cell r="H28" t="str">
            <v>USWE</v>
          </cell>
          <cell r="I28" t="str">
            <v>加州区</v>
          </cell>
          <cell r="J28">
            <v>0</v>
          </cell>
          <cell r="K28">
            <v>0</v>
          </cell>
          <cell r="L28">
            <v>0</v>
          </cell>
          <cell r="M28">
            <v>0</v>
          </cell>
          <cell r="N28">
            <v>0</v>
          </cell>
          <cell r="O28">
            <v>116</v>
          </cell>
          <cell r="P28">
            <v>0</v>
          </cell>
        </row>
        <row r="29">
          <cell r="A29" t="str">
            <v>6975925240890</v>
          </cell>
          <cell r="B29" t="str">
            <v>1300100165</v>
          </cell>
          <cell r="C29" t="str">
            <v>G10068-I5521507013</v>
          </cell>
          <cell r="D29" t="str">
            <v>正常</v>
          </cell>
          <cell r="E29" t="str">
            <v>三维扫描仪Moose升级款(美规)</v>
          </cell>
          <cell r="F29" t="str">
            <v>3D Scanner Moose Premium(US)</v>
          </cell>
          <cell r="G29" t="str">
            <v>可用</v>
          </cell>
          <cell r="H29" t="str">
            <v>USWE</v>
          </cell>
          <cell r="I29" t="str">
            <v>加州区</v>
          </cell>
          <cell r="J29">
            <v>0</v>
          </cell>
          <cell r="K29">
            <v>0</v>
          </cell>
          <cell r="L29">
            <v>0</v>
          </cell>
          <cell r="M29">
            <v>0</v>
          </cell>
          <cell r="N29">
            <v>0</v>
          </cell>
          <cell r="O29">
            <v>0</v>
          </cell>
          <cell r="P29">
            <v>0</v>
          </cell>
        </row>
        <row r="30">
          <cell r="A30" t="str">
            <v>6975925240937</v>
          </cell>
          <cell r="B30" t="str">
            <v>1300100169</v>
          </cell>
          <cell r="C30" t="str">
            <v>G10068-Y2026158464</v>
          </cell>
          <cell r="D30" t="str">
            <v>正常</v>
          </cell>
          <cell r="E30" t="str">
            <v>三维扫描仪Moose Lite升级款(美规)</v>
          </cell>
          <cell r="F30" t="str">
            <v>3D Scanner Moose Lite Premium(US)</v>
          </cell>
          <cell r="G30" t="str">
            <v>可用</v>
          </cell>
          <cell r="H30" t="str">
            <v>USWE</v>
          </cell>
          <cell r="I30" t="str">
            <v>加州区</v>
          </cell>
          <cell r="J30">
            <v>0</v>
          </cell>
          <cell r="K30">
            <v>0</v>
          </cell>
          <cell r="L30">
            <v>0</v>
          </cell>
          <cell r="M30">
            <v>0</v>
          </cell>
          <cell r="N30">
            <v>0</v>
          </cell>
          <cell r="O30">
            <v>0</v>
          </cell>
          <cell r="P30">
            <v>0</v>
          </cell>
        </row>
        <row r="31">
          <cell r="A31" t="str">
            <v>6975925241101</v>
          </cell>
          <cell r="B31" t="str">
            <v>1300100190</v>
          </cell>
          <cell r="C31" t="str">
            <v>G10068-L1854942151</v>
          </cell>
          <cell r="D31" t="str">
            <v>正常</v>
          </cell>
          <cell r="E31" t="str">
            <v>三维扫描仪Moose豪华款(美欧)</v>
          </cell>
          <cell r="F31" t="str">
            <v>3D Scanner Moose Luxury(US/EU)</v>
          </cell>
          <cell r="G31" t="str">
            <v>可用</v>
          </cell>
          <cell r="H31" t="str">
            <v>USWE</v>
          </cell>
          <cell r="I31" t="str">
            <v>加州区</v>
          </cell>
          <cell r="J31">
            <v>0</v>
          </cell>
          <cell r="K31">
            <v>0</v>
          </cell>
          <cell r="L31">
            <v>0</v>
          </cell>
          <cell r="M31">
            <v>0</v>
          </cell>
          <cell r="N31">
            <v>0</v>
          </cell>
          <cell r="O31">
            <v>0</v>
          </cell>
          <cell r="P31">
            <v>0</v>
          </cell>
        </row>
        <row r="32">
          <cell r="A32" t="str">
            <v>6975925241118</v>
          </cell>
          <cell r="B32" t="str">
            <v>1300100197</v>
          </cell>
          <cell r="C32" t="str">
            <v>G10068-W3489636781</v>
          </cell>
          <cell r="D32" t="str">
            <v>正常</v>
          </cell>
          <cell r="E32" t="str">
            <v>三维扫描仪Moose Lite豪华款(美欧)</v>
          </cell>
          <cell r="F32" t="str">
            <v>3D Scanner Moose Lite Luxury(US/EU)</v>
          </cell>
          <cell r="G32" t="str">
            <v>可用</v>
          </cell>
          <cell r="H32" t="str">
            <v>USWE</v>
          </cell>
          <cell r="I32" t="str">
            <v>加州区</v>
          </cell>
          <cell r="J32">
            <v>0</v>
          </cell>
          <cell r="K32">
            <v>0</v>
          </cell>
          <cell r="L32">
            <v>0</v>
          </cell>
          <cell r="M32">
            <v>0</v>
          </cell>
          <cell r="N32">
            <v>0</v>
          </cell>
          <cell r="O32">
            <v>0</v>
          </cell>
          <cell r="P32">
            <v>0</v>
          </cell>
        </row>
        <row r="33">
          <cell r="A33" t="str">
            <v>6975925241231</v>
          </cell>
          <cell r="B33" t="str">
            <v>1300100211</v>
          </cell>
          <cell r="C33" t="str">
            <v>G10068-A4935954961</v>
          </cell>
          <cell r="D33" t="str">
            <v>正常</v>
          </cell>
          <cell r="E33" t="str">
            <v>三维扫描仪Eagle JMK1 RTK</v>
          </cell>
          <cell r="F33" t="str">
            <v>3D Scanner Eagle JMK1 RTK</v>
          </cell>
          <cell r="G33" t="str">
            <v>可用</v>
          </cell>
          <cell r="H33" t="str">
            <v>USWE</v>
          </cell>
          <cell r="I33" t="str">
            <v>加州区</v>
          </cell>
          <cell r="J33">
            <v>0</v>
          </cell>
          <cell r="K33">
            <v>16</v>
          </cell>
          <cell r="L33">
            <v>16</v>
          </cell>
          <cell r="M33">
            <v>0</v>
          </cell>
          <cell r="N33">
            <v>0</v>
          </cell>
          <cell r="O33">
            <v>12</v>
          </cell>
          <cell r="P33">
            <v>0</v>
          </cell>
        </row>
        <row r="34">
          <cell r="A34" t="str">
            <v>6975925241712</v>
          </cell>
          <cell r="B34" t="str">
            <v>1300100203</v>
          </cell>
          <cell r="C34" t="str">
            <v>G10068-C7129156017</v>
          </cell>
          <cell r="D34" t="str">
            <v>正常</v>
          </cell>
          <cell r="E34" t="str">
            <v>三维扫描仪Eagle JMK2</v>
          </cell>
          <cell r="F34" t="str">
            <v>3D Scanner Eagle JMK2</v>
          </cell>
          <cell r="G34" t="str">
            <v>可用</v>
          </cell>
          <cell r="H34" t="str">
            <v>USWE</v>
          </cell>
          <cell r="I34" t="str">
            <v>加州区</v>
          </cell>
          <cell r="J34">
            <v>0</v>
          </cell>
          <cell r="K34">
            <v>0</v>
          </cell>
          <cell r="L34">
            <v>0</v>
          </cell>
          <cell r="M34">
            <v>0</v>
          </cell>
          <cell r="N34">
            <v>0</v>
          </cell>
          <cell r="O34">
            <v>0</v>
          </cell>
          <cell r="P34">
            <v>0</v>
          </cell>
        </row>
        <row r="35">
          <cell r="A35" t="str">
            <v>6975925241248</v>
          </cell>
          <cell r="B35" t="str">
            <v>1300100212</v>
          </cell>
          <cell r="C35" t="str">
            <v>G10068-D4331561160</v>
          </cell>
          <cell r="D35" t="str">
            <v>正常</v>
          </cell>
          <cell r="E35" t="str">
            <v>三维扫描仪Eagle JMK2 RTK</v>
          </cell>
          <cell r="F35" t="str">
            <v>3D Scanner Eagle JMK2 RTK</v>
          </cell>
          <cell r="G35" t="str">
            <v>可用</v>
          </cell>
          <cell r="H35" t="str">
            <v>USWE</v>
          </cell>
          <cell r="I35" t="str">
            <v>加州区</v>
          </cell>
          <cell r="J35">
            <v>0</v>
          </cell>
          <cell r="K35">
            <v>12</v>
          </cell>
          <cell r="L35">
            <v>12</v>
          </cell>
          <cell r="M35">
            <v>0</v>
          </cell>
          <cell r="N35">
            <v>0</v>
          </cell>
          <cell r="O35">
            <v>19</v>
          </cell>
          <cell r="P35">
            <v>0</v>
          </cell>
        </row>
        <row r="36">
          <cell r="A36" t="str">
            <v>6975925241170</v>
          </cell>
          <cell r="B36" t="str">
            <v>1300100194</v>
          </cell>
          <cell r="C36" t="str">
            <v>G10068-F7437902748</v>
          </cell>
          <cell r="D36" t="str">
            <v>正常</v>
          </cell>
          <cell r="E36" t="str">
            <v>三维扫描仪Eagle JMK1</v>
          </cell>
          <cell r="F36" t="str">
            <v>3D Scanner Eagle JMK1</v>
          </cell>
          <cell r="G36" t="str">
            <v>可用</v>
          </cell>
          <cell r="H36" t="str">
            <v>USWE</v>
          </cell>
          <cell r="I36" t="str">
            <v>加州区</v>
          </cell>
          <cell r="J36">
            <v>0</v>
          </cell>
          <cell r="K36">
            <v>0</v>
          </cell>
          <cell r="L36">
            <v>0</v>
          </cell>
          <cell r="M36">
            <v>0</v>
          </cell>
          <cell r="N36">
            <v>0</v>
          </cell>
          <cell r="O36">
            <v>0</v>
          </cell>
          <cell r="P36">
            <v>0</v>
          </cell>
        </row>
        <row r="37">
          <cell r="A37" t="str">
            <v>6975925241187</v>
          </cell>
          <cell r="B37" t="str">
            <v>1300100205</v>
          </cell>
          <cell r="C37" t="str">
            <v>G10068-G0853083951</v>
          </cell>
          <cell r="D37" t="str">
            <v>正常</v>
          </cell>
          <cell r="E37" t="str">
            <v>钢化膜套装</v>
          </cell>
          <cell r="F37" t="str">
            <v>Tempered Glass</v>
          </cell>
          <cell r="G37" t="str">
            <v>可用</v>
          </cell>
          <cell r="H37" t="str">
            <v>USWE</v>
          </cell>
          <cell r="I37" t="str">
            <v>加州区</v>
          </cell>
          <cell r="J37">
            <v>0</v>
          </cell>
          <cell r="K37">
            <v>0</v>
          </cell>
          <cell r="L37">
            <v>0</v>
          </cell>
          <cell r="M37">
            <v>0</v>
          </cell>
          <cell r="N37">
            <v>0</v>
          </cell>
          <cell r="O37">
            <v>33</v>
          </cell>
          <cell r="P37">
            <v>0</v>
          </cell>
        </row>
        <row r="38">
          <cell r="A38" t="str">
            <v>6975925241194</v>
          </cell>
          <cell r="B38" t="str">
            <v>1050100021</v>
          </cell>
          <cell r="C38" t="str">
            <v>G10068-P3917814400</v>
          </cell>
          <cell r="D38" t="str">
            <v>正常</v>
          </cell>
          <cell r="E38" t="str">
            <v>三脚架</v>
          </cell>
          <cell r="F38" t="str">
            <v>Manual Tripod</v>
          </cell>
          <cell r="G38" t="str">
            <v>可用</v>
          </cell>
          <cell r="H38" t="str">
            <v>USWE</v>
          </cell>
          <cell r="I38" t="str">
            <v>加州区</v>
          </cell>
          <cell r="J38">
            <v>0</v>
          </cell>
          <cell r="K38">
            <v>0</v>
          </cell>
          <cell r="L38">
            <v>0</v>
          </cell>
          <cell r="M38">
            <v>0</v>
          </cell>
          <cell r="N38">
            <v>0</v>
          </cell>
          <cell r="O38">
            <v>15</v>
          </cell>
          <cell r="P38">
            <v>0</v>
          </cell>
        </row>
        <row r="39">
          <cell r="A39" t="str">
            <v>6975925241279</v>
          </cell>
          <cell r="B39" t="str">
            <v>1021900168</v>
          </cell>
          <cell r="C39" t="str">
            <v>G10068-H1105693353</v>
          </cell>
          <cell r="D39" t="str">
            <v>正常</v>
          </cell>
          <cell r="E39" t="str">
            <v>Moose一体线缆</v>
          </cell>
          <cell r="F39" t="str">
            <v>Moose Cable</v>
          </cell>
          <cell r="G39" t="str">
            <v>可用</v>
          </cell>
          <cell r="H39" t="str">
            <v>USWE</v>
          </cell>
          <cell r="I39" t="str">
            <v>加州区</v>
          </cell>
          <cell r="J39">
            <v>0</v>
          </cell>
          <cell r="K39">
            <v>0</v>
          </cell>
          <cell r="L39">
            <v>0</v>
          </cell>
          <cell r="M39">
            <v>0</v>
          </cell>
          <cell r="N39">
            <v>0</v>
          </cell>
          <cell r="O39">
            <v>49</v>
          </cell>
          <cell r="P39">
            <v>0</v>
          </cell>
        </row>
        <row r="40">
          <cell r="A40" t="str">
            <v>6975925240807</v>
          </cell>
          <cell r="B40" t="str">
            <v>1021900094</v>
          </cell>
          <cell r="C40" t="str">
            <v>G10068-M3993029897</v>
          </cell>
          <cell r="D40" t="str">
            <v>正常</v>
          </cell>
          <cell r="E40" t="str">
            <v>Seal扫描仪一体线缆</v>
          </cell>
          <cell r="F40" t="str">
            <v>Seal Cable</v>
          </cell>
          <cell r="G40" t="str">
            <v>可用</v>
          </cell>
          <cell r="H40" t="str">
            <v>USWE</v>
          </cell>
          <cell r="I40" t="str">
            <v>加州区</v>
          </cell>
          <cell r="J40">
            <v>0</v>
          </cell>
          <cell r="K40">
            <v>0</v>
          </cell>
          <cell r="L40">
            <v>0</v>
          </cell>
          <cell r="M40">
            <v>0</v>
          </cell>
          <cell r="N40">
            <v>0</v>
          </cell>
          <cell r="O40">
            <v>7</v>
          </cell>
          <cell r="P40">
            <v>0</v>
          </cell>
        </row>
        <row r="41">
          <cell r="A41" t="str">
            <v>6975925241286</v>
          </cell>
          <cell r="B41" t="str">
            <v>1040600057</v>
          </cell>
          <cell r="C41" t="str">
            <v>G10068-X7007389868</v>
          </cell>
          <cell r="D41" t="str">
            <v>正常</v>
          </cell>
          <cell r="E41" t="str">
            <v>PD电源</v>
          </cell>
          <cell r="F41" t="str">
            <v>PD Adapter</v>
          </cell>
          <cell r="G41" t="str">
            <v>可用</v>
          </cell>
          <cell r="H41" t="str">
            <v>USWE</v>
          </cell>
          <cell r="I41" t="str">
            <v>加州区</v>
          </cell>
          <cell r="J41">
            <v>0</v>
          </cell>
          <cell r="K41">
            <v>0</v>
          </cell>
          <cell r="L41">
            <v>0</v>
          </cell>
          <cell r="M41">
            <v>0</v>
          </cell>
          <cell r="N41">
            <v>0</v>
          </cell>
          <cell r="O41">
            <v>14</v>
          </cell>
          <cell r="P41">
            <v>0</v>
          </cell>
        </row>
        <row r="42">
          <cell r="A42" t="str">
            <v>6975925241224</v>
          </cell>
          <cell r="B42" t="str">
            <v>1300100209</v>
          </cell>
          <cell r="C42" t="str">
            <v>G10068-K6842757167</v>
          </cell>
          <cell r="D42" t="str">
            <v>正常</v>
          </cell>
          <cell r="E42" t="str">
            <v>自行车支架套装</v>
          </cell>
          <cell r="F42" t="str">
            <v>Bicycle Kit</v>
          </cell>
          <cell r="G42" t="str">
            <v>可用</v>
          </cell>
          <cell r="H42" t="str">
            <v>USWE</v>
          </cell>
          <cell r="I42" t="str">
            <v>加州区</v>
          </cell>
          <cell r="J42">
            <v>0</v>
          </cell>
          <cell r="K42">
            <v>33</v>
          </cell>
          <cell r="L42">
            <v>33</v>
          </cell>
          <cell r="M42">
            <v>0</v>
          </cell>
          <cell r="N42">
            <v>0</v>
          </cell>
          <cell r="O42">
            <v>0</v>
          </cell>
          <cell r="P42">
            <v>0</v>
          </cell>
        </row>
        <row r="43">
          <cell r="A43" t="str">
            <v>6975925241200</v>
          </cell>
          <cell r="B43" t="str">
            <v>1300100207</v>
          </cell>
          <cell r="C43" t="str">
            <v>G10068-Q9476508753</v>
          </cell>
          <cell r="D43" t="str">
            <v>正常</v>
          </cell>
          <cell r="E43" t="str">
            <v>车顶吸盘安装套装</v>
          </cell>
          <cell r="F43" t="str">
            <v>Automotive Rooftop Mount</v>
          </cell>
          <cell r="G43" t="str">
            <v>可用</v>
          </cell>
          <cell r="H43" t="str">
            <v>USWE</v>
          </cell>
          <cell r="I43" t="str">
            <v>加州区</v>
          </cell>
          <cell r="J43">
            <v>0</v>
          </cell>
          <cell r="K43">
            <v>0</v>
          </cell>
          <cell r="L43">
            <v>0</v>
          </cell>
          <cell r="M43">
            <v>0</v>
          </cell>
          <cell r="N43">
            <v>0</v>
          </cell>
          <cell r="O43">
            <v>19</v>
          </cell>
          <cell r="P43">
            <v>0</v>
          </cell>
        </row>
        <row r="44">
          <cell r="A44" t="str">
            <v>6975925241422</v>
          </cell>
          <cell r="B44" t="str">
            <v>1300100234</v>
          </cell>
          <cell r="C44" t="str">
            <v>G10068-N8843774280</v>
          </cell>
          <cell r="D44" t="str">
            <v>正常</v>
          </cell>
          <cell r="E44" t="str">
            <v>三维扫描仪Moose Lite豪华款(4规)</v>
          </cell>
          <cell r="F44" t="str">
            <v>3D Scanner Moose Lite Luxury</v>
          </cell>
          <cell r="G44" t="str">
            <v>可用</v>
          </cell>
          <cell r="H44" t="str">
            <v>USWE</v>
          </cell>
          <cell r="I44" t="str">
            <v>加州区</v>
          </cell>
          <cell r="J44">
            <v>0</v>
          </cell>
          <cell r="K44">
            <v>40</v>
          </cell>
          <cell r="L44">
            <v>40</v>
          </cell>
          <cell r="M44">
            <v>0</v>
          </cell>
          <cell r="N44">
            <v>0</v>
          </cell>
          <cell r="O44">
            <v>12</v>
          </cell>
          <cell r="P44">
            <v>0</v>
          </cell>
        </row>
        <row r="45">
          <cell r="A45" t="str">
            <v>6975925240968</v>
          </cell>
          <cell r="B45" t="str">
            <v>1300100172</v>
          </cell>
          <cell r="C45" t="str">
            <v>G10068-X6559775294</v>
          </cell>
          <cell r="D45" t="str">
            <v>正常</v>
          </cell>
          <cell r="E45" t="str">
            <v>三维扫描仪Moose Lite升级款(美欧)</v>
          </cell>
          <cell r="F45" t="str">
            <v>3D Scanner Moose Lite Premium(US/EU)</v>
          </cell>
          <cell r="G45" t="str">
            <v>可用</v>
          </cell>
          <cell r="H45" t="str">
            <v>USWE</v>
          </cell>
          <cell r="I45" t="str">
            <v>加州区</v>
          </cell>
          <cell r="J45">
            <v>0</v>
          </cell>
          <cell r="K45">
            <v>0</v>
          </cell>
          <cell r="L45">
            <v>0</v>
          </cell>
          <cell r="M45">
            <v>0</v>
          </cell>
          <cell r="N45">
            <v>0</v>
          </cell>
          <cell r="O45">
            <v>0</v>
          </cell>
          <cell r="P45">
            <v>0</v>
          </cell>
        </row>
        <row r="46">
          <cell r="A46" t="str">
            <v>6975925241385</v>
          </cell>
          <cell r="B46" t="str">
            <v>1300100230</v>
          </cell>
          <cell r="C46" t="str">
            <v>G10068-K5433980388</v>
          </cell>
          <cell r="D46" t="str">
            <v>正常</v>
          </cell>
          <cell r="E46" t="str">
            <v>三维扫描仪Moose升级款(4规)</v>
          </cell>
          <cell r="F46" t="str">
            <v>3D Scanner Moose Premium</v>
          </cell>
          <cell r="G46" t="str">
            <v>可用</v>
          </cell>
          <cell r="H46" t="str">
            <v>USWE</v>
          </cell>
          <cell r="I46" t="str">
            <v>加州区</v>
          </cell>
          <cell r="J46">
            <v>0</v>
          </cell>
          <cell r="K46">
            <v>0</v>
          </cell>
          <cell r="L46">
            <v>0</v>
          </cell>
          <cell r="M46">
            <v>0</v>
          </cell>
          <cell r="N46">
            <v>0</v>
          </cell>
          <cell r="O46">
            <v>41</v>
          </cell>
          <cell r="P46">
            <v>0</v>
          </cell>
        </row>
        <row r="47">
          <cell r="A47" t="str">
            <v>6975925241293</v>
          </cell>
          <cell r="B47" t="str">
            <v>1300100219</v>
          </cell>
          <cell r="C47" t="str">
            <v>G10068-K7513965071</v>
          </cell>
          <cell r="D47" t="str">
            <v>正常</v>
          </cell>
          <cell r="E47" t="str">
            <v>三维扫描仪Seal基础款(4规)</v>
          </cell>
          <cell r="F47" t="str">
            <v>3D Scanner Seal Standard</v>
          </cell>
          <cell r="G47" t="str">
            <v>可用</v>
          </cell>
          <cell r="H47" t="str">
            <v>USWE</v>
          </cell>
          <cell r="I47" t="str">
            <v>加州区</v>
          </cell>
          <cell r="J47">
            <v>0</v>
          </cell>
          <cell r="K47">
            <v>96</v>
          </cell>
          <cell r="L47">
            <v>96</v>
          </cell>
          <cell r="M47">
            <v>0</v>
          </cell>
          <cell r="N47">
            <v>0</v>
          </cell>
          <cell r="O47">
            <v>1</v>
          </cell>
          <cell r="P47">
            <v>0</v>
          </cell>
        </row>
        <row r="48">
          <cell r="A48" t="str">
            <v>6975925241323</v>
          </cell>
          <cell r="B48" t="str">
            <v>1300100222</v>
          </cell>
          <cell r="C48" t="str">
            <v>G10068-L9214929219</v>
          </cell>
          <cell r="D48" t="str">
            <v>正常</v>
          </cell>
          <cell r="E48" t="str">
            <v>三维扫描仪Seal Lite基础款(4规)</v>
          </cell>
          <cell r="F48" t="str">
            <v>3D Scanner Seal Lite Standard</v>
          </cell>
          <cell r="G48" t="str">
            <v>可用</v>
          </cell>
          <cell r="H48" t="str">
            <v>USWE</v>
          </cell>
          <cell r="I48" t="str">
            <v>加州区</v>
          </cell>
          <cell r="J48">
            <v>0</v>
          </cell>
          <cell r="K48">
            <v>32</v>
          </cell>
          <cell r="L48">
            <v>32</v>
          </cell>
          <cell r="M48">
            <v>0</v>
          </cell>
          <cell r="N48">
            <v>0</v>
          </cell>
          <cell r="O48">
            <v>72</v>
          </cell>
          <cell r="P48">
            <v>3</v>
          </cell>
        </row>
        <row r="49">
          <cell r="A49" t="str">
            <v>6975925241415</v>
          </cell>
          <cell r="B49" t="str">
            <v>1300100233</v>
          </cell>
          <cell r="C49" t="str">
            <v>G10068-V1704434170</v>
          </cell>
          <cell r="D49" t="str">
            <v>正常</v>
          </cell>
          <cell r="E49" t="str">
            <v>三维扫描仪Moose Lite升级款(4规)</v>
          </cell>
          <cell r="F49" t="str">
            <v>3D Scanner Moose Lite Premium</v>
          </cell>
          <cell r="G49" t="str">
            <v>可用</v>
          </cell>
          <cell r="H49" t="str">
            <v>USWE</v>
          </cell>
          <cell r="I49" t="str">
            <v>加州区</v>
          </cell>
          <cell r="J49">
            <v>0</v>
          </cell>
          <cell r="K49">
            <v>36</v>
          </cell>
          <cell r="L49">
            <v>36</v>
          </cell>
          <cell r="M49">
            <v>0</v>
          </cell>
          <cell r="N49">
            <v>0</v>
          </cell>
          <cell r="O49">
            <v>0</v>
          </cell>
          <cell r="P49">
            <v>0</v>
          </cell>
        </row>
        <row r="50">
          <cell r="A50" t="str">
            <v>6975925241217</v>
          </cell>
          <cell r="B50" t="str">
            <v>1300100208</v>
          </cell>
          <cell r="C50" t="str">
            <v>G10068-E0275058636</v>
          </cell>
          <cell r="D50" t="str">
            <v>正常</v>
          </cell>
          <cell r="E50" t="str">
            <v>背架套装</v>
          </cell>
          <cell r="F50" t="str">
            <v>Backpack Kit</v>
          </cell>
          <cell r="G50" t="str">
            <v>可用</v>
          </cell>
          <cell r="H50" t="str">
            <v>USWE</v>
          </cell>
          <cell r="I50" t="str">
            <v>加州区</v>
          </cell>
          <cell r="J50">
            <v>0</v>
          </cell>
          <cell r="K50">
            <v>0</v>
          </cell>
          <cell r="L50">
            <v>0</v>
          </cell>
          <cell r="M50">
            <v>0</v>
          </cell>
          <cell r="N50">
            <v>0</v>
          </cell>
          <cell r="O50">
            <v>0</v>
          </cell>
          <cell r="P50">
            <v>0</v>
          </cell>
        </row>
        <row r="51">
          <cell r="A51" t="str">
            <v>6975925241453</v>
          </cell>
          <cell r="B51" t="str">
            <v>1300100240</v>
          </cell>
          <cell r="C51" t="str">
            <v>G10068-L9358621876</v>
          </cell>
          <cell r="D51" t="str">
            <v>正常</v>
          </cell>
          <cell r="E51" t="str">
            <v>三维扫描仪Toucan升级款(4规)</v>
          </cell>
          <cell r="F51" t="str">
            <v>3D Scanner Toucan Premium</v>
          </cell>
          <cell r="G51" t="str">
            <v>可用</v>
          </cell>
          <cell r="H51" t="str">
            <v>USWE</v>
          </cell>
          <cell r="I51" t="str">
            <v>加州区</v>
          </cell>
          <cell r="J51">
            <v>0</v>
          </cell>
          <cell r="K51">
            <v>0</v>
          </cell>
          <cell r="L51">
            <v>0</v>
          </cell>
          <cell r="M51">
            <v>0</v>
          </cell>
          <cell r="N51">
            <v>0</v>
          </cell>
          <cell r="O51">
            <v>109</v>
          </cell>
          <cell r="P51">
            <v>0</v>
          </cell>
        </row>
        <row r="52">
          <cell r="A52" t="str">
            <v>6975925241514</v>
          </cell>
          <cell r="B52" t="str">
            <v>1300100246</v>
          </cell>
          <cell r="C52" t="str">
            <v>G10068-P5268459472</v>
          </cell>
          <cell r="D52" t="str">
            <v>正常</v>
          </cell>
          <cell r="E52" t="str">
            <v>三维扫描仪Toucan基础款(4规)</v>
          </cell>
          <cell r="F52" t="str">
            <v>3D Scanner Toucan Standard</v>
          </cell>
          <cell r="G52" t="str">
            <v>可用</v>
          </cell>
          <cell r="H52" t="str">
            <v>USWE</v>
          </cell>
          <cell r="I52" t="str">
            <v>加州区</v>
          </cell>
          <cell r="J52">
            <v>0</v>
          </cell>
          <cell r="K52">
            <v>0</v>
          </cell>
          <cell r="L52">
            <v>0</v>
          </cell>
          <cell r="M52">
            <v>0</v>
          </cell>
          <cell r="N52">
            <v>0</v>
          </cell>
          <cell r="O52">
            <v>31</v>
          </cell>
          <cell r="P52">
            <v>0</v>
          </cell>
        </row>
        <row r="53">
          <cell r="A53" t="str">
            <v>6975925241392</v>
          </cell>
          <cell r="B53" t="str">
            <v>1300100231</v>
          </cell>
          <cell r="C53" t="str">
            <v>G10068-B6142572023</v>
          </cell>
          <cell r="D53" t="str">
            <v>正常</v>
          </cell>
          <cell r="E53" t="str">
            <v>三维扫描仪Moose豪华款(4规)</v>
          </cell>
          <cell r="F53" t="str">
            <v>3D Scanner Moose Luxury</v>
          </cell>
          <cell r="G53" t="str">
            <v>可用</v>
          </cell>
          <cell r="H53" t="str">
            <v>USWE</v>
          </cell>
          <cell r="I53" t="str">
            <v>加州区</v>
          </cell>
          <cell r="J53">
            <v>0</v>
          </cell>
          <cell r="K53">
            <v>0</v>
          </cell>
          <cell r="L53">
            <v>0</v>
          </cell>
          <cell r="M53">
            <v>0</v>
          </cell>
          <cell r="N53">
            <v>0</v>
          </cell>
          <cell r="O53">
            <v>0</v>
          </cell>
          <cell r="P53">
            <v>0</v>
          </cell>
        </row>
        <row r="54">
          <cell r="A54" t="str">
            <v>6975925240456</v>
          </cell>
          <cell r="B54" t="str">
            <v>1300100105</v>
          </cell>
          <cell r="C54" t="str">
            <v>G10068-C1869136238</v>
          </cell>
          <cell r="D54" t="str">
            <v>正常</v>
          </cell>
          <cell r="E54" t="str">
            <v>三维扫描仪Lynx基础款(英文4规版)</v>
          </cell>
          <cell r="F54" t="str">
            <v>3D Scanner Lynx Standard(EN)</v>
          </cell>
          <cell r="G54" t="str">
            <v>可用</v>
          </cell>
          <cell r="H54" t="str">
            <v>USWE</v>
          </cell>
          <cell r="I54" t="str">
            <v>加州区</v>
          </cell>
          <cell r="J54">
            <v>0</v>
          </cell>
          <cell r="K54">
            <v>0</v>
          </cell>
          <cell r="L54">
            <v>0</v>
          </cell>
          <cell r="M54">
            <v>0</v>
          </cell>
          <cell r="N54">
            <v>0</v>
          </cell>
          <cell r="O54">
            <v>0</v>
          </cell>
          <cell r="P54">
            <v>0</v>
          </cell>
        </row>
        <row r="55">
          <cell r="A55" t="str">
            <v>6975925241354</v>
          </cell>
          <cell r="B55" t="str">
            <v>1300100226</v>
          </cell>
          <cell r="C55" t="str">
            <v>G10068-S3691817827</v>
          </cell>
          <cell r="D55" t="str">
            <v>正常</v>
          </cell>
          <cell r="E55" t="str">
            <v>Seal双轴转台(4规)</v>
          </cell>
          <cell r="F55" t="str">
            <v>Multi-Axis Turntable for Seal</v>
          </cell>
          <cell r="G55" t="str">
            <v>可用</v>
          </cell>
          <cell r="H55" t="str">
            <v>USWE</v>
          </cell>
          <cell r="I55" t="str">
            <v>加州区</v>
          </cell>
          <cell r="J55">
            <v>0</v>
          </cell>
          <cell r="K55">
            <v>40</v>
          </cell>
          <cell r="L55">
            <v>40</v>
          </cell>
          <cell r="M55">
            <v>0</v>
          </cell>
          <cell r="N55">
            <v>0</v>
          </cell>
          <cell r="O55">
            <v>23</v>
          </cell>
          <cell r="P55">
            <v>0</v>
          </cell>
        </row>
        <row r="56">
          <cell r="A56" t="str">
            <v>6975925240463</v>
          </cell>
          <cell r="B56" t="str">
            <v>1300100106</v>
          </cell>
          <cell r="C56" t="str">
            <v>G10068-Q6515818653</v>
          </cell>
          <cell r="D56" t="str">
            <v>正常</v>
          </cell>
          <cell r="E56" t="str">
            <v>三维扫描仪Lynx升级款(英文4规版)</v>
          </cell>
          <cell r="F56" t="str">
            <v>3D Scanner Lynx Premium(EN)</v>
          </cell>
          <cell r="G56" t="str">
            <v>可用</v>
          </cell>
          <cell r="H56" t="str">
            <v>USWE</v>
          </cell>
          <cell r="I56" t="str">
            <v>加州区</v>
          </cell>
          <cell r="J56">
            <v>0</v>
          </cell>
          <cell r="K56">
            <v>0</v>
          </cell>
          <cell r="L56">
            <v>0</v>
          </cell>
          <cell r="M56">
            <v>0</v>
          </cell>
          <cell r="N56">
            <v>0</v>
          </cell>
          <cell r="O56">
            <v>0</v>
          </cell>
          <cell r="P56">
            <v>0</v>
          </cell>
        </row>
        <row r="57">
          <cell r="A57" t="str">
            <v>6975925241378</v>
          </cell>
          <cell r="B57" t="str">
            <v>1300100229</v>
          </cell>
          <cell r="C57" t="str">
            <v>G10068-S6729510507</v>
          </cell>
          <cell r="D57" t="str">
            <v>正常</v>
          </cell>
          <cell r="E57" t="str">
            <v>三维扫描仪Moose基础款(4规)</v>
          </cell>
          <cell r="F57" t="str">
            <v>3D Scanner Moose Standard</v>
          </cell>
          <cell r="G57" t="str">
            <v>可用</v>
          </cell>
          <cell r="H57" t="str">
            <v>USWE</v>
          </cell>
          <cell r="I57" t="str">
            <v>加州区</v>
          </cell>
          <cell r="J57">
            <v>0</v>
          </cell>
          <cell r="K57">
            <v>20</v>
          </cell>
          <cell r="L57">
            <v>20</v>
          </cell>
          <cell r="M57">
            <v>0</v>
          </cell>
          <cell r="N57">
            <v>0</v>
          </cell>
          <cell r="O57">
            <v>52</v>
          </cell>
          <cell r="P57">
            <v>0</v>
          </cell>
        </row>
        <row r="58">
          <cell r="A58" t="str">
            <v>6975925241408</v>
          </cell>
          <cell r="B58" t="str">
            <v>1300100232</v>
          </cell>
          <cell r="C58" t="str">
            <v>G10068-A8788678864</v>
          </cell>
          <cell r="D58" t="str">
            <v>正常</v>
          </cell>
          <cell r="E58" t="str">
            <v>三维扫描仪Moose Lite基础款(4规)</v>
          </cell>
          <cell r="F58" t="str">
            <v>3D Scanner Moose Lite Standard</v>
          </cell>
          <cell r="G58" t="str">
            <v>可用</v>
          </cell>
          <cell r="H58" t="str">
            <v>USWE</v>
          </cell>
          <cell r="I58" t="str">
            <v>加州区</v>
          </cell>
          <cell r="J58">
            <v>0</v>
          </cell>
          <cell r="K58">
            <v>240</v>
          </cell>
          <cell r="L58">
            <v>240</v>
          </cell>
          <cell r="M58">
            <v>0</v>
          </cell>
          <cell r="N58">
            <v>0</v>
          </cell>
          <cell r="O58">
            <v>7</v>
          </cell>
          <cell r="P58">
            <v>1</v>
          </cell>
        </row>
        <row r="59">
          <cell r="A59" t="str">
            <v>6975925241446</v>
          </cell>
          <cell r="B59" t="str">
            <v>1300100241</v>
          </cell>
          <cell r="C59" t="str">
            <v>G10068-Z3268802708</v>
          </cell>
          <cell r="D59" t="str">
            <v>正常</v>
          </cell>
          <cell r="E59" t="str">
            <v>三维扫描仪Hawk(4规)</v>
          </cell>
          <cell r="F59" t="str">
            <v>3D Scanner Hawk</v>
          </cell>
          <cell r="G59" t="str">
            <v>可用</v>
          </cell>
          <cell r="H59" t="str">
            <v>USWE</v>
          </cell>
          <cell r="I59" t="str">
            <v>加州区</v>
          </cell>
          <cell r="J59">
            <v>0</v>
          </cell>
          <cell r="K59">
            <v>0</v>
          </cell>
          <cell r="L59">
            <v>0</v>
          </cell>
          <cell r="M59">
            <v>0</v>
          </cell>
          <cell r="N59">
            <v>0</v>
          </cell>
          <cell r="O59">
            <v>0</v>
          </cell>
          <cell r="P59">
            <v>0</v>
          </cell>
        </row>
        <row r="60">
          <cell r="A60" t="str">
            <v>6975925241538</v>
          </cell>
          <cell r="B60" t="str">
            <v>1300100249</v>
          </cell>
          <cell r="C60" t="str">
            <v>G10068-J6481115949</v>
          </cell>
          <cell r="D60" t="str">
            <v>正常</v>
          </cell>
          <cell r="E60" t="str">
            <v>Toucan三脚架套装</v>
          </cell>
          <cell r="F60" t="str">
            <v>Tripod for Toucan</v>
          </cell>
          <cell r="G60" t="str">
            <v>可用</v>
          </cell>
          <cell r="H60" t="str">
            <v>USWE</v>
          </cell>
          <cell r="I60" t="str">
            <v>加州区</v>
          </cell>
          <cell r="J60">
            <v>0</v>
          </cell>
          <cell r="K60">
            <v>0</v>
          </cell>
          <cell r="L60">
            <v>0</v>
          </cell>
          <cell r="M60">
            <v>0</v>
          </cell>
          <cell r="N60">
            <v>0</v>
          </cell>
          <cell r="O60">
            <v>18</v>
          </cell>
          <cell r="P60">
            <v>0</v>
          </cell>
        </row>
        <row r="61">
          <cell r="A61" t="str">
            <v>6975925241521</v>
          </cell>
          <cell r="B61" t="str">
            <v>1300100250</v>
          </cell>
          <cell r="C61" t="str">
            <v>G10068-U7811066551</v>
          </cell>
          <cell r="D61" t="str">
            <v>正常</v>
          </cell>
          <cell r="E61" t="str">
            <v>Toucan箱包套装</v>
          </cell>
          <cell r="F61" t="str">
            <v>Carrying Case for Toucan</v>
          </cell>
          <cell r="G61" t="str">
            <v>可用</v>
          </cell>
          <cell r="H61" t="str">
            <v>USWE</v>
          </cell>
          <cell r="I61" t="str">
            <v>加州区</v>
          </cell>
          <cell r="J61">
            <v>0</v>
          </cell>
          <cell r="K61">
            <v>0</v>
          </cell>
          <cell r="L61">
            <v>0</v>
          </cell>
          <cell r="M61">
            <v>0</v>
          </cell>
          <cell r="N61">
            <v>0</v>
          </cell>
          <cell r="O61">
            <v>35</v>
          </cell>
          <cell r="P61">
            <v>0</v>
          </cell>
        </row>
        <row r="62">
          <cell r="A62" t="str">
            <v>6975925241545</v>
          </cell>
          <cell r="B62" t="str">
            <v>1300100248</v>
          </cell>
          <cell r="C62" t="str">
            <v>G10068-U5913207544</v>
          </cell>
          <cell r="D62" t="str">
            <v>正常</v>
          </cell>
          <cell r="E62" t="str">
            <v>MTT2转台</v>
          </cell>
          <cell r="F62" t="str">
            <v>Automatic Turntable</v>
          </cell>
          <cell r="G62" t="str">
            <v>可用</v>
          </cell>
          <cell r="H62" t="str">
            <v>USWE</v>
          </cell>
          <cell r="I62" t="str">
            <v>加州区</v>
          </cell>
          <cell r="J62">
            <v>0</v>
          </cell>
          <cell r="K62">
            <v>0</v>
          </cell>
          <cell r="L62">
            <v>0</v>
          </cell>
          <cell r="M62">
            <v>0</v>
          </cell>
          <cell r="N62">
            <v>0</v>
          </cell>
          <cell r="O62">
            <v>10</v>
          </cell>
          <cell r="P62">
            <v>0</v>
          </cell>
        </row>
        <row r="63">
          <cell r="A63" t="str">
            <v>6975925241576</v>
          </cell>
          <cell r="B63" t="str">
            <v>1300100262</v>
          </cell>
          <cell r="C63" t="str">
            <v>G10068-Q0558973006</v>
          </cell>
          <cell r="D63" t="str">
            <v>正常</v>
          </cell>
          <cell r="E63" t="str">
            <v>三维扫描仪Raven Max升级款(4规）</v>
          </cell>
          <cell r="F63" t="str">
            <v>3D Scanner Raven Max Premium</v>
          </cell>
          <cell r="G63" t="str">
            <v>可用</v>
          </cell>
          <cell r="H63" t="str">
            <v>USWE</v>
          </cell>
          <cell r="I63" t="str">
            <v>加州区</v>
          </cell>
          <cell r="J63">
            <v>0</v>
          </cell>
          <cell r="K63">
            <v>0</v>
          </cell>
          <cell r="L63">
            <v>0</v>
          </cell>
          <cell r="M63">
            <v>0</v>
          </cell>
          <cell r="N63">
            <v>0</v>
          </cell>
          <cell r="O63">
            <v>27</v>
          </cell>
          <cell r="P63">
            <v>0</v>
          </cell>
        </row>
        <row r="64">
          <cell r="A64" t="str">
            <v>6975925241569</v>
          </cell>
          <cell r="B64" t="str">
            <v>1300100256</v>
          </cell>
          <cell r="C64" t="str">
            <v>G10068-H0235245115</v>
          </cell>
          <cell r="D64" t="str">
            <v>正常</v>
          </cell>
          <cell r="E64" t="str">
            <v>三维扫描仪Raven Max基础款(4规)</v>
          </cell>
          <cell r="F64" t="str">
            <v>3D Scanner Raven Max Standard</v>
          </cell>
          <cell r="G64" t="str">
            <v>可用</v>
          </cell>
          <cell r="H64" t="str">
            <v>USWE</v>
          </cell>
          <cell r="I64" t="str">
            <v>加州区</v>
          </cell>
          <cell r="J64">
            <v>0</v>
          </cell>
          <cell r="K64">
            <v>0</v>
          </cell>
          <cell r="L64">
            <v>0</v>
          </cell>
          <cell r="M64">
            <v>0</v>
          </cell>
          <cell r="N64">
            <v>0</v>
          </cell>
          <cell r="O64">
            <v>21</v>
          </cell>
          <cell r="P64">
            <v>0</v>
          </cell>
        </row>
        <row r="65">
          <cell r="A65" t="str">
            <v>6975925241613</v>
          </cell>
          <cell r="B65" t="str">
            <v>1300100260</v>
          </cell>
          <cell r="C65" t="str">
            <v>G10068-C1781003046</v>
          </cell>
          <cell r="D65" t="str">
            <v>正常</v>
          </cell>
          <cell r="E65" t="str">
            <v>三维扫描仪FOX(4规)</v>
          </cell>
          <cell r="F65" t="str">
            <v>3D Scanner FOX(EN)</v>
          </cell>
          <cell r="G65" t="str">
            <v>可用</v>
          </cell>
          <cell r="H65" t="str">
            <v>USWE</v>
          </cell>
          <cell r="I65" t="str">
            <v>加州区</v>
          </cell>
          <cell r="J65">
            <v>0</v>
          </cell>
          <cell r="K65">
            <v>200</v>
          </cell>
          <cell r="L65">
            <v>200</v>
          </cell>
          <cell r="M65">
            <v>0</v>
          </cell>
          <cell r="N65">
            <v>0</v>
          </cell>
          <cell r="O65">
            <v>86</v>
          </cell>
          <cell r="P65">
            <v>4</v>
          </cell>
        </row>
        <row r="66">
          <cell r="A66" t="str">
            <v>6975925241583</v>
          </cell>
          <cell r="B66" t="str">
            <v>1300100263</v>
          </cell>
          <cell r="C66" t="str">
            <v>G10068-E1982218248</v>
          </cell>
          <cell r="D66" t="str">
            <v>正常</v>
          </cell>
          <cell r="E66" t="str">
            <v>三维扫描仪Raven(4规)</v>
          </cell>
          <cell r="F66" t="str">
            <v>3D Scanner Raven</v>
          </cell>
          <cell r="G66" t="str">
            <v>可用</v>
          </cell>
          <cell r="H66" t="str">
            <v>USWE</v>
          </cell>
          <cell r="I66" t="str">
            <v>加州区</v>
          </cell>
          <cell r="J66">
            <v>0</v>
          </cell>
          <cell r="K66">
            <v>0</v>
          </cell>
          <cell r="L66">
            <v>0</v>
          </cell>
          <cell r="M66">
            <v>0</v>
          </cell>
          <cell r="N66">
            <v>0</v>
          </cell>
          <cell r="O66">
            <v>0</v>
          </cell>
          <cell r="P66">
            <v>0</v>
          </cell>
        </row>
        <row r="67">
          <cell r="A67" t="str">
            <v>6975925241637</v>
          </cell>
          <cell r="B67" t="str">
            <v>1300100245</v>
          </cell>
          <cell r="C67" t="str">
            <v>G10068-V0441971502</v>
          </cell>
          <cell r="D67" t="str">
            <v>正常</v>
          </cell>
          <cell r="E67" t="str">
            <v>360相机套装</v>
          </cell>
          <cell r="F67" t="str">
            <v>360 Camera Kit</v>
          </cell>
          <cell r="G67" t="str">
            <v>可用</v>
          </cell>
          <cell r="H67" t="str">
            <v>USWE</v>
          </cell>
          <cell r="I67" t="str">
            <v>加州区</v>
          </cell>
          <cell r="J67">
            <v>0</v>
          </cell>
          <cell r="K67">
            <v>26</v>
          </cell>
          <cell r="L67">
            <v>26</v>
          </cell>
          <cell r="M67">
            <v>0</v>
          </cell>
          <cell r="N67">
            <v>0</v>
          </cell>
          <cell r="O67">
            <v>32</v>
          </cell>
          <cell r="P67">
            <v>0</v>
          </cell>
        </row>
      </sheetData>
      <sheetData sheetId="13">
        <row r="1">
          <cell r="A1" t="str">
            <v>商品编码</v>
          </cell>
          <cell r="B1" t="str">
            <v>谷仓商品条码</v>
          </cell>
          <cell r="C1" t="str">
            <v>中文名称</v>
          </cell>
          <cell r="D1" t="str">
            <v>英文名称</v>
          </cell>
          <cell r="E1" t="str">
            <v>仓库（区域）</v>
          </cell>
          <cell r="F1" t="str">
            <v>上架时间</v>
          </cell>
          <cell r="G1" t="str">
            <v>过期日期</v>
          </cell>
          <cell r="H1" t="str">
            <v>在库库存</v>
          </cell>
          <cell r="I1" t="str">
            <v>库龄（天）</v>
          </cell>
        </row>
        <row r="2">
          <cell r="A2" t="str">
            <v>6975925240272</v>
          </cell>
          <cell r="B2" t="str">
            <v>G10068-6975925240272</v>
          </cell>
          <cell r="C2" t="str">
            <v>Lynx三脚架</v>
          </cell>
          <cell r="D2" t="str">
            <v>Tripod for Lynx</v>
          </cell>
          <cell r="E2" t="str">
            <v>USWE[加州区]</v>
          </cell>
          <cell r="F2" t="str">
            <v>2023-11-21</v>
          </cell>
          <cell r="G2" t="str">
            <v/>
          </cell>
          <cell r="H2">
            <v>1</v>
          </cell>
          <cell r="I2">
            <v>936</v>
          </cell>
        </row>
        <row r="3">
          <cell r="A3" t="str">
            <v>6975925240203</v>
          </cell>
          <cell r="B3" t="str">
            <v>G10068-6975925240203</v>
          </cell>
          <cell r="C3" t="str">
            <v>Mole Connect手机云台(安卓版)</v>
          </cell>
          <cell r="D3" t="str">
            <v>Mole Connect for Android</v>
          </cell>
          <cell r="E3" t="str">
            <v>USWE[加州区]</v>
          </cell>
          <cell r="F3" t="str">
            <v>2024-03-23</v>
          </cell>
          <cell r="G3" t="str">
            <v/>
          </cell>
          <cell r="H3">
            <v>42</v>
          </cell>
          <cell r="I3">
            <v>813</v>
          </cell>
        </row>
        <row r="4">
          <cell r="A4" t="str">
            <v>6975925240227</v>
          </cell>
          <cell r="B4" t="str">
            <v>G10068-6975925240227</v>
          </cell>
          <cell r="C4" t="str">
            <v>Mole三脚架</v>
          </cell>
          <cell r="D4" t="str">
            <v>Tripod for Mole</v>
          </cell>
          <cell r="E4" t="str">
            <v>USWE[加州区]</v>
          </cell>
          <cell r="F4" t="str">
            <v>2024-03-23</v>
          </cell>
          <cell r="G4" t="str">
            <v/>
          </cell>
          <cell r="H4">
            <v>17</v>
          </cell>
          <cell r="I4">
            <v>813</v>
          </cell>
        </row>
        <row r="5">
          <cell r="A5" t="str">
            <v>6975925240210</v>
          </cell>
          <cell r="B5" t="str">
            <v>G10068-6975925240210</v>
          </cell>
          <cell r="C5" t="str">
            <v>Mole Connect手机云台(苹果版)</v>
          </cell>
          <cell r="D5" t="str">
            <v>Mole Connect for iOS</v>
          </cell>
          <cell r="E5" t="str">
            <v>USWE[加州区]</v>
          </cell>
          <cell r="F5" t="str">
            <v>2024-03-23</v>
          </cell>
          <cell r="G5" t="str">
            <v/>
          </cell>
          <cell r="H5">
            <v>94</v>
          </cell>
          <cell r="I5">
            <v>813</v>
          </cell>
        </row>
        <row r="6">
          <cell r="A6" t="str">
            <v>6975925241033</v>
          </cell>
          <cell r="B6" t="str">
            <v>G10068-6975925241033</v>
          </cell>
          <cell r="C6" t="str">
            <v>智能手柄数据线</v>
          </cell>
          <cell r="D6" t="str">
            <v>Cable for 3D Scanner Smart Grip</v>
          </cell>
          <cell r="E6" t="str">
            <v>USWE[加州区]</v>
          </cell>
          <cell r="F6" t="str">
            <v>2024-08-13</v>
          </cell>
          <cell r="G6" t="str">
            <v/>
          </cell>
          <cell r="H6">
            <v>116</v>
          </cell>
          <cell r="I6">
            <v>670</v>
          </cell>
        </row>
        <row r="7">
          <cell r="A7" t="str">
            <v>6975925240272</v>
          </cell>
          <cell r="B7" t="str">
            <v>G10068-6975925240272</v>
          </cell>
          <cell r="C7" t="str">
            <v>Lynx三脚架</v>
          </cell>
          <cell r="D7" t="str">
            <v>Tripod for Lynx</v>
          </cell>
          <cell r="E7" t="str">
            <v>USWE[加州区]</v>
          </cell>
          <cell r="F7" t="str">
            <v>2024-08-13</v>
          </cell>
          <cell r="G7" t="str">
            <v/>
          </cell>
          <cell r="H7">
            <v>27</v>
          </cell>
          <cell r="I7">
            <v>670</v>
          </cell>
        </row>
        <row r="8">
          <cell r="A8" t="str">
            <v>6975925241187</v>
          </cell>
          <cell r="B8" t="str">
            <v>G10068-G0853083951</v>
          </cell>
          <cell r="C8" t="str">
            <v>钢化膜套装</v>
          </cell>
          <cell r="D8" t="str">
            <v>Tempered Glass</v>
          </cell>
          <cell r="E8" t="str">
            <v>USWE[加州区]</v>
          </cell>
          <cell r="F8" t="str">
            <v>2025-05-03</v>
          </cell>
          <cell r="G8" t="str">
            <v/>
          </cell>
          <cell r="H8">
            <v>31</v>
          </cell>
          <cell r="I8">
            <v>407</v>
          </cell>
        </row>
        <row r="9">
          <cell r="A9" t="str">
            <v>6975925241286</v>
          </cell>
          <cell r="B9" t="str">
            <v>G10068-X7007389868</v>
          </cell>
          <cell r="C9" t="str">
            <v>PD电源</v>
          </cell>
          <cell r="D9" t="str">
            <v>PD Adapter</v>
          </cell>
          <cell r="E9" t="str">
            <v>USWE[加州区]</v>
          </cell>
          <cell r="F9" t="str">
            <v>2025-05-09</v>
          </cell>
          <cell r="G9" t="str">
            <v/>
          </cell>
          <cell r="H9">
            <v>14</v>
          </cell>
          <cell r="I9">
            <v>401</v>
          </cell>
        </row>
        <row r="10">
          <cell r="A10" t="str">
            <v>6975925240807</v>
          </cell>
          <cell r="B10" t="str">
            <v>G10068-M3993029897</v>
          </cell>
          <cell r="C10" t="str">
            <v>Seal扫描仪一体线缆</v>
          </cell>
          <cell r="D10" t="str">
            <v>Seal Cable</v>
          </cell>
          <cell r="E10" t="str">
            <v>USWE[加州区]</v>
          </cell>
          <cell r="F10" t="str">
            <v>2025-05-09</v>
          </cell>
          <cell r="G10" t="str">
            <v/>
          </cell>
          <cell r="H10">
            <v>7</v>
          </cell>
          <cell r="I10">
            <v>401</v>
          </cell>
        </row>
        <row r="11">
          <cell r="A11" t="str">
            <v>6975925241279</v>
          </cell>
          <cell r="B11" t="str">
            <v>G10068-H1105693353</v>
          </cell>
          <cell r="C11" t="str">
            <v>Moose一体线缆</v>
          </cell>
          <cell r="D11" t="str">
            <v>Moose Cable</v>
          </cell>
          <cell r="E11" t="str">
            <v>USWE[加州区]</v>
          </cell>
          <cell r="F11" t="str">
            <v>2025-05-09</v>
          </cell>
          <cell r="G11" t="str">
            <v/>
          </cell>
          <cell r="H11">
            <v>49</v>
          </cell>
          <cell r="I11">
            <v>401</v>
          </cell>
        </row>
        <row r="12">
          <cell r="A12" t="str">
            <v>6975925241187</v>
          </cell>
          <cell r="B12" t="str">
            <v>G10068-G0853083951</v>
          </cell>
          <cell r="C12" t="str">
            <v>钢化膜套装</v>
          </cell>
          <cell r="D12" t="str">
            <v>Tempered Glass</v>
          </cell>
          <cell r="E12" t="str">
            <v>USWE[加州区]</v>
          </cell>
          <cell r="F12" t="str">
            <v>2025-06-01</v>
          </cell>
          <cell r="G12" t="str">
            <v/>
          </cell>
          <cell r="H12">
            <v>1</v>
          </cell>
          <cell r="I12">
            <v>378</v>
          </cell>
        </row>
        <row r="13">
          <cell r="A13" t="str">
            <v>6975925241422</v>
          </cell>
          <cell r="B13" t="str">
            <v>G10068-N8843774280</v>
          </cell>
          <cell r="C13" t="str">
            <v>三维扫描仪Moose Lite豪华款(4规)</v>
          </cell>
          <cell r="D13" t="str">
            <v>3D Scanner Moose Lite Luxury</v>
          </cell>
          <cell r="E13" t="str">
            <v>USWE[加州区]</v>
          </cell>
          <cell r="F13" t="str">
            <v>2025-06-28</v>
          </cell>
          <cell r="G13" t="str">
            <v/>
          </cell>
          <cell r="H13">
            <v>2</v>
          </cell>
          <cell r="I13">
            <v>351</v>
          </cell>
        </row>
        <row r="14">
          <cell r="A14" t="str">
            <v>6975925241194</v>
          </cell>
          <cell r="B14" t="str">
            <v>G10068-P3917814400</v>
          </cell>
          <cell r="C14" t="str">
            <v>三脚架</v>
          </cell>
          <cell r="D14" t="str">
            <v>Manual Tripod</v>
          </cell>
          <cell r="E14" t="str">
            <v>USWE[加州区]</v>
          </cell>
          <cell r="F14" t="str">
            <v>2025-07-19</v>
          </cell>
          <cell r="G14" t="str">
            <v/>
          </cell>
          <cell r="H14">
            <v>3</v>
          </cell>
          <cell r="I14">
            <v>330</v>
          </cell>
        </row>
        <row r="15">
          <cell r="A15" t="str">
            <v>6975925241194</v>
          </cell>
          <cell r="B15" t="str">
            <v>G10068-P3917814400</v>
          </cell>
          <cell r="C15" t="str">
            <v>三脚架</v>
          </cell>
          <cell r="D15" t="str">
            <v>Manual Tripod</v>
          </cell>
          <cell r="E15" t="str">
            <v>USWE[加州区]</v>
          </cell>
          <cell r="F15" t="str">
            <v>2025-07-25</v>
          </cell>
          <cell r="G15" t="str">
            <v/>
          </cell>
          <cell r="H15">
            <v>12</v>
          </cell>
          <cell r="I15">
            <v>324</v>
          </cell>
        </row>
        <row r="16">
          <cell r="A16" t="str">
            <v>6975925241422</v>
          </cell>
          <cell r="B16" t="str">
            <v>G10068-N8843774280</v>
          </cell>
          <cell r="C16" t="str">
            <v>三维扫描仪Moose Lite豪华款(4规)</v>
          </cell>
          <cell r="D16" t="str">
            <v>3D Scanner Moose Lite Luxury</v>
          </cell>
          <cell r="E16" t="str">
            <v>USWE[加州区]</v>
          </cell>
          <cell r="F16" t="str">
            <v>2025-12-20</v>
          </cell>
          <cell r="G16" t="str">
            <v/>
          </cell>
          <cell r="H16">
            <v>10</v>
          </cell>
          <cell r="I16">
            <v>176</v>
          </cell>
        </row>
        <row r="17">
          <cell r="A17" t="str">
            <v>6975925240753</v>
          </cell>
          <cell r="B17" t="str">
            <v>G10068-6975925240753</v>
          </cell>
          <cell r="C17" t="str">
            <v>Seal三脚架</v>
          </cell>
          <cell r="D17" t="str">
            <v>Tripod for Seal</v>
          </cell>
          <cell r="E17" t="str">
            <v>USWE[加州区]</v>
          </cell>
          <cell r="F17" t="str">
            <v>2025-12-23</v>
          </cell>
          <cell r="G17" t="str">
            <v/>
          </cell>
          <cell r="H17">
            <v>24</v>
          </cell>
          <cell r="I17">
            <v>173</v>
          </cell>
        </row>
        <row r="18">
          <cell r="A18" t="str">
            <v>6975925241453</v>
          </cell>
          <cell r="B18" t="str">
            <v>G10068-L9358621876</v>
          </cell>
          <cell r="C18" t="str">
            <v>三维扫描仪Toucan升级款(4规)</v>
          </cell>
          <cell r="D18" t="str">
            <v>3D Scanner Toucan Premium</v>
          </cell>
          <cell r="E18" t="str">
            <v>USWE[加州区]</v>
          </cell>
          <cell r="F18" t="str">
            <v>2026-01-07</v>
          </cell>
          <cell r="G18" t="str">
            <v/>
          </cell>
          <cell r="H18">
            <v>8</v>
          </cell>
          <cell r="I18">
            <v>158</v>
          </cell>
        </row>
        <row r="19">
          <cell r="A19" t="str">
            <v>6975925241453</v>
          </cell>
          <cell r="B19" t="str">
            <v>G10068-L9358621876</v>
          </cell>
          <cell r="C19" t="str">
            <v>三维扫描仪Toucan升级款(4规)</v>
          </cell>
          <cell r="D19" t="str">
            <v>3D Scanner Toucan Premium</v>
          </cell>
          <cell r="E19" t="str">
            <v>USWE[加州区]</v>
          </cell>
          <cell r="F19" t="str">
            <v>2026-01-11</v>
          </cell>
          <cell r="G19" t="str">
            <v/>
          </cell>
          <cell r="H19">
            <v>1</v>
          </cell>
          <cell r="I19">
            <v>154</v>
          </cell>
        </row>
        <row r="20">
          <cell r="A20" t="str">
            <v>6975925241187</v>
          </cell>
          <cell r="B20" t="str">
            <v>G10068-G0853083951</v>
          </cell>
          <cell r="C20" t="str">
            <v>钢化膜套装</v>
          </cell>
          <cell r="D20" t="str">
            <v>Tempered Glass</v>
          </cell>
          <cell r="E20" t="str">
            <v>USWE[加州区]</v>
          </cell>
          <cell r="F20" t="str">
            <v>2026-01-23</v>
          </cell>
          <cell r="G20" t="str">
            <v/>
          </cell>
          <cell r="H20">
            <v>1</v>
          </cell>
          <cell r="I20">
            <v>142</v>
          </cell>
        </row>
        <row r="21">
          <cell r="A21" t="str">
            <v>6975925241521</v>
          </cell>
          <cell r="B21" t="str">
            <v>G10068-U7811066551</v>
          </cell>
          <cell r="C21" t="str">
            <v>Toucan箱包套装</v>
          </cell>
          <cell r="D21" t="str">
            <v>Carrying Case for Toucan</v>
          </cell>
          <cell r="E21" t="str">
            <v>USWE[加州区]</v>
          </cell>
          <cell r="F21" t="str">
            <v>2026-02-03</v>
          </cell>
          <cell r="G21" t="str">
            <v/>
          </cell>
          <cell r="H21">
            <v>35</v>
          </cell>
          <cell r="I21">
            <v>131</v>
          </cell>
        </row>
        <row r="22">
          <cell r="A22" t="str">
            <v>6975925241538</v>
          </cell>
          <cell r="B22" t="str">
            <v>G10068-J6481115949</v>
          </cell>
          <cell r="C22" t="str">
            <v>Toucan三脚架套装</v>
          </cell>
          <cell r="D22" t="str">
            <v>Tripod for Toucan</v>
          </cell>
          <cell r="E22" t="str">
            <v>USWE[加州区]</v>
          </cell>
          <cell r="F22" t="str">
            <v>2026-02-05</v>
          </cell>
          <cell r="G22" t="str">
            <v/>
          </cell>
          <cell r="H22">
            <v>18</v>
          </cell>
          <cell r="I22">
            <v>129</v>
          </cell>
        </row>
        <row r="23">
          <cell r="A23" t="str">
            <v>6975925241248</v>
          </cell>
          <cell r="B23" t="str">
            <v>G10068-D4331561160</v>
          </cell>
          <cell r="C23" t="str">
            <v>三维扫描仪Eagle JMK2 RTK</v>
          </cell>
          <cell r="D23" t="str">
            <v>3D Scanner Eagle JMK2 RTK</v>
          </cell>
          <cell r="E23" t="str">
            <v>USWE[加州区]</v>
          </cell>
          <cell r="F23" t="str">
            <v>2026-02-24</v>
          </cell>
          <cell r="G23" t="str">
            <v/>
          </cell>
          <cell r="H23">
            <v>7</v>
          </cell>
          <cell r="I23">
            <v>110</v>
          </cell>
        </row>
        <row r="24">
          <cell r="A24" t="str">
            <v>6975925241453</v>
          </cell>
          <cell r="B24" t="str">
            <v>G10068-L9358621876</v>
          </cell>
          <cell r="C24" t="str">
            <v>三维扫描仪Toucan升级款(4规)</v>
          </cell>
          <cell r="D24" t="str">
            <v>3D Scanner Toucan Premium</v>
          </cell>
          <cell r="E24" t="str">
            <v>USWE[加州区]</v>
          </cell>
          <cell r="F24" t="str">
            <v>2026-03-03</v>
          </cell>
          <cell r="G24" t="str">
            <v/>
          </cell>
          <cell r="H24">
            <v>15</v>
          </cell>
          <cell r="I24">
            <v>103</v>
          </cell>
        </row>
        <row r="25">
          <cell r="A25" t="str">
            <v>6975925241514</v>
          </cell>
          <cell r="B25" t="str">
            <v>G10068-P5268459472</v>
          </cell>
          <cell r="C25" t="str">
            <v>三维扫描仪Toucan基础款(4规)</v>
          </cell>
          <cell r="D25" t="str">
            <v>3D Scanner Toucan Standard</v>
          </cell>
          <cell r="E25" t="str">
            <v>USWE[加州区]</v>
          </cell>
          <cell r="F25" t="str">
            <v>2026-03-03</v>
          </cell>
          <cell r="G25" t="str">
            <v/>
          </cell>
          <cell r="H25">
            <v>13</v>
          </cell>
          <cell r="I25">
            <v>103</v>
          </cell>
        </row>
        <row r="26">
          <cell r="A26" t="str">
            <v>6975925241248</v>
          </cell>
          <cell r="B26" t="str">
            <v>G10068-D4331561160</v>
          </cell>
          <cell r="C26" t="str">
            <v>三维扫描仪Eagle JMK2 RTK</v>
          </cell>
          <cell r="D26" t="str">
            <v>3D Scanner Eagle JMK2 RTK</v>
          </cell>
          <cell r="E26" t="str">
            <v>USWE[加州区]</v>
          </cell>
          <cell r="F26" t="str">
            <v>2026-03-03</v>
          </cell>
          <cell r="G26" t="str">
            <v/>
          </cell>
          <cell r="H26">
            <v>12</v>
          </cell>
          <cell r="I26">
            <v>103</v>
          </cell>
        </row>
        <row r="27">
          <cell r="A27" t="str">
            <v>6975925241453</v>
          </cell>
          <cell r="B27" t="str">
            <v>G10068-L9358621876</v>
          </cell>
          <cell r="C27" t="str">
            <v>三维扫描仪Toucan升级款(4规)</v>
          </cell>
          <cell r="D27" t="str">
            <v>3D Scanner Toucan Premium</v>
          </cell>
          <cell r="E27" t="str">
            <v>USWE[加州区]</v>
          </cell>
          <cell r="F27" t="str">
            <v>2026-03-27</v>
          </cell>
          <cell r="G27" t="str">
            <v/>
          </cell>
          <cell r="H27">
            <v>50</v>
          </cell>
          <cell r="I27">
            <v>79</v>
          </cell>
        </row>
        <row r="28">
          <cell r="A28" t="str">
            <v>6975925241545</v>
          </cell>
          <cell r="B28" t="str">
            <v>G10068-U5913207544</v>
          </cell>
          <cell r="C28" t="str">
            <v>MTT2转台</v>
          </cell>
          <cell r="D28" t="str">
            <v>Automatic Turntable</v>
          </cell>
          <cell r="E28" t="str">
            <v>USWE[加州区]</v>
          </cell>
          <cell r="F28" t="str">
            <v>2026-03-28</v>
          </cell>
          <cell r="G28" t="str">
            <v/>
          </cell>
          <cell r="H28">
            <v>10</v>
          </cell>
          <cell r="I28">
            <v>78</v>
          </cell>
        </row>
        <row r="29">
          <cell r="A29" t="str">
            <v>6975925241514</v>
          </cell>
          <cell r="B29" t="str">
            <v>G10068-P5268459472</v>
          </cell>
          <cell r="C29" t="str">
            <v>三维扫描仪Toucan基础款(4规)</v>
          </cell>
          <cell r="D29" t="str">
            <v>3D Scanner Toucan Standard</v>
          </cell>
          <cell r="E29" t="str">
            <v>USWE[加州区]</v>
          </cell>
          <cell r="F29" t="str">
            <v>2026-03-31</v>
          </cell>
          <cell r="G29" t="str">
            <v/>
          </cell>
          <cell r="H29">
            <v>18</v>
          </cell>
          <cell r="I29">
            <v>75</v>
          </cell>
        </row>
        <row r="30">
          <cell r="A30" t="str">
            <v>6975925241293</v>
          </cell>
          <cell r="B30" t="str">
            <v>G10068-K7513965071</v>
          </cell>
          <cell r="C30" t="str">
            <v>三维扫描仪Seal基础款(4规)</v>
          </cell>
          <cell r="D30" t="str">
            <v>3D Scanner Seal Standard</v>
          </cell>
          <cell r="E30" t="str">
            <v>USWE[加州区]</v>
          </cell>
          <cell r="F30" t="str">
            <v>2026-04-11</v>
          </cell>
          <cell r="G30" t="str">
            <v/>
          </cell>
          <cell r="H30">
            <v>1</v>
          </cell>
          <cell r="I30">
            <v>64</v>
          </cell>
        </row>
        <row r="31">
          <cell r="A31" t="str">
            <v>6975925241231</v>
          </cell>
          <cell r="B31" t="str">
            <v>G10068-A4935954961</v>
          </cell>
          <cell r="C31" t="str">
            <v>三维扫描仪Eagle JMK1 RTK</v>
          </cell>
          <cell r="D31" t="str">
            <v>3D Scanner Eagle JMK1 RTK</v>
          </cell>
          <cell r="E31" t="str">
            <v>USWE[加州区]</v>
          </cell>
          <cell r="F31" t="str">
            <v>2026-04-11</v>
          </cell>
          <cell r="G31" t="str">
            <v/>
          </cell>
          <cell r="H31">
            <v>7</v>
          </cell>
          <cell r="I31">
            <v>64</v>
          </cell>
        </row>
        <row r="32">
          <cell r="A32" t="str">
            <v>6975925240746</v>
          </cell>
          <cell r="B32" t="str">
            <v>G10068-6975925240746</v>
          </cell>
          <cell r="C32" t="str">
            <v>Seal/Seal Lite转台</v>
          </cell>
          <cell r="D32" t="str">
            <v>Turntable for Seal/Seal Lite</v>
          </cell>
          <cell r="E32" t="str">
            <v>USWE[加州区]</v>
          </cell>
          <cell r="F32" t="str">
            <v>2026-04-11</v>
          </cell>
          <cell r="G32" t="str">
            <v/>
          </cell>
          <cell r="H32">
            <v>26</v>
          </cell>
          <cell r="I32">
            <v>64</v>
          </cell>
        </row>
        <row r="33">
          <cell r="A33" t="str">
            <v>6975925241453</v>
          </cell>
          <cell r="B33" t="str">
            <v>G10068-L9358621876</v>
          </cell>
          <cell r="C33" t="str">
            <v>三维扫描仪Toucan升级款(4规)</v>
          </cell>
          <cell r="D33" t="str">
            <v>3D Scanner Toucan Premium</v>
          </cell>
          <cell r="E33" t="str">
            <v>USWE[加州区]</v>
          </cell>
          <cell r="F33" t="str">
            <v>2026-04-11</v>
          </cell>
          <cell r="G33" t="str">
            <v/>
          </cell>
          <cell r="H33">
            <v>35</v>
          </cell>
          <cell r="I33">
            <v>64</v>
          </cell>
        </row>
        <row r="34">
          <cell r="A34" t="str">
            <v>6975925241569</v>
          </cell>
          <cell r="B34" t="str">
            <v>G10068-H0235245115</v>
          </cell>
          <cell r="C34" t="str">
            <v>三维扫描仪Raven Max基础款(4规)</v>
          </cell>
          <cell r="D34" t="str">
            <v>3D Scanner Raven Max Standard</v>
          </cell>
          <cell r="E34" t="str">
            <v>USWE[加州区]</v>
          </cell>
          <cell r="F34" t="str">
            <v>2026-05-01</v>
          </cell>
          <cell r="G34" t="str">
            <v/>
          </cell>
          <cell r="H34">
            <v>21</v>
          </cell>
          <cell r="I34">
            <v>44</v>
          </cell>
        </row>
        <row r="35">
          <cell r="A35" t="str">
            <v>6975925241354</v>
          </cell>
          <cell r="B35" t="str">
            <v>G10068-S3691817827</v>
          </cell>
          <cell r="C35" t="str">
            <v>Seal双轴转台(4规)</v>
          </cell>
          <cell r="D35" t="str">
            <v>Multi-Axis Turntable for Seal</v>
          </cell>
          <cell r="E35" t="str">
            <v>USWE[加州区]</v>
          </cell>
          <cell r="F35" t="str">
            <v>2026-05-01</v>
          </cell>
          <cell r="G35" t="str">
            <v/>
          </cell>
          <cell r="H35">
            <v>23</v>
          </cell>
          <cell r="I35">
            <v>44</v>
          </cell>
        </row>
        <row r="36">
          <cell r="A36" t="str">
            <v>6975925241576</v>
          </cell>
          <cell r="B36" t="str">
            <v>G10068-Q0558973006</v>
          </cell>
          <cell r="C36" t="str">
            <v>三维扫描仪Raven Max升级款(4规）</v>
          </cell>
          <cell r="D36" t="str">
            <v>3D Scanner Raven Max Premium</v>
          </cell>
          <cell r="E36" t="str">
            <v>USWE[加州区]</v>
          </cell>
          <cell r="F36" t="str">
            <v>2026-05-02</v>
          </cell>
          <cell r="G36" t="str">
            <v/>
          </cell>
          <cell r="H36">
            <v>19</v>
          </cell>
          <cell r="I36">
            <v>43</v>
          </cell>
        </row>
        <row r="37">
          <cell r="A37" t="str">
            <v>6975925241385</v>
          </cell>
          <cell r="B37" t="str">
            <v>G10068-K5433980388</v>
          </cell>
          <cell r="C37" t="str">
            <v>三维扫描仪Moose升级款(4规)</v>
          </cell>
          <cell r="D37" t="str">
            <v>3D Scanner Moose Premium</v>
          </cell>
          <cell r="E37" t="str">
            <v>USWE[加州区]</v>
          </cell>
          <cell r="F37" t="str">
            <v>2026-05-02</v>
          </cell>
          <cell r="G37" t="str">
            <v/>
          </cell>
          <cell r="H37">
            <v>29</v>
          </cell>
          <cell r="I37">
            <v>43</v>
          </cell>
        </row>
        <row r="38">
          <cell r="A38" t="str">
            <v>6975925241231</v>
          </cell>
          <cell r="B38" t="str">
            <v>G10068-A4935954961</v>
          </cell>
          <cell r="C38" t="str">
            <v>三维扫描仪Eagle JMK1 RTK</v>
          </cell>
          <cell r="D38" t="str">
            <v>3D Scanner Eagle JMK1 RTK</v>
          </cell>
          <cell r="E38" t="str">
            <v>USWE[加州区]</v>
          </cell>
          <cell r="F38" t="str">
            <v>2026-05-05</v>
          </cell>
          <cell r="G38" t="str">
            <v/>
          </cell>
          <cell r="H38">
            <v>4</v>
          </cell>
          <cell r="I38">
            <v>40</v>
          </cell>
        </row>
        <row r="39">
          <cell r="A39" t="str">
            <v>6975925241378</v>
          </cell>
          <cell r="B39" t="str">
            <v>G10068-S6729510507</v>
          </cell>
          <cell r="C39" t="str">
            <v>三维扫描仪Moose基础款(4规)</v>
          </cell>
          <cell r="D39" t="str">
            <v>3D Scanner Moose Standard</v>
          </cell>
          <cell r="E39" t="str">
            <v>USWE[加州区]</v>
          </cell>
          <cell r="F39" t="str">
            <v>2026-05-19</v>
          </cell>
          <cell r="G39" t="str">
            <v/>
          </cell>
          <cell r="H39">
            <v>32</v>
          </cell>
          <cell r="I39">
            <v>26</v>
          </cell>
        </row>
        <row r="40">
          <cell r="A40" t="str">
            <v>6975925241408</v>
          </cell>
          <cell r="B40" t="str">
            <v>G10068-A8788678864</v>
          </cell>
          <cell r="C40" t="str">
            <v>三维扫描仪Moose Lite基础款(4规)</v>
          </cell>
          <cell r="D40" t="str">
            <v>3D Scanner Moose Lite Standard</v>
          </cell>
          <cell r="E40" t="str">
            <v>USWE[加州区]</v>
          </cell>
          <cell r="F40" t="str">
            <v>2026-05-19</v>
          </cell>
          <cell r="G40" t="str">
            <v/>
          </cell>
          <cell r="H40">
            <v>6</v>
          </cell>
          <cell r="I40">
            <v>26</v>
          </cell>
        </row>
        <row r="41">
          <cell r="A41" t="str">
            <v>6975925241200</v>
          </cell>
          <cell r="B41" t="str">
            <v>G10068-Q9476508753</v>
          </cell>
          <cell r="C41" t="str">
            <v>车顶吸盘安装套装</v>
          </cell>
          <cell r="D41" t="str">
            <v>Automotive Rooftop Mount</v>
          </cell>
          <cell r="E41" t="str">
            <v>USWE[加州区]</v>
          </cell>
          <cell r="F41" t="str">
            <v>2026-05-19</v>
          </cell>
          <cell r="G41" t="str">
            <v/>
          </cell>
          <cell r="H41">
            <v>18</v>
          </cell>
          <cell r="I41">
            <v>26</v>
          </cell>
        </row>
        <row r="42">
          <cell r="A42" t="str">
            <v>6975925241385</v>
          </cell>
          <cell r="B42" t="str">
            <v>G10068-K5433980388</v>
          </cell>
          <cell r="C42" t="str">
            <v>三维扫描仪Moose升级款(4规)</v>
          </cell>
          <cell r="D42" t="str">
            <v>3D Scanner Moose Premium</v>
          </cell>
          <cell r="E42" t="str">
            <v>USWE[加州区]</v>
          </cell>
          <cell r="F42" t="str">
            <v>2026-05-19</v>
          </cell>
          <cell r="G42" t="str">
            <v/>
          </cell>
          <cell r="H42">
            <v>12</v>
          </cell>
          <cell r="I42">
            <v>26</v>
          </cell>
        </row>
        <row r="43">
          <cell r="A43" t="str">
            <v>6975925240746</v>
          </cell>
          <cell r="B43" t="str">
            <v>G10068-6975925240746</v>
          </cell>
          <cell r="C43" t="str">
            <v>Seal/Seal Lite转台</v>
          </cell>
          <cell r="D43" t="str">
            <v>Turntable for Seal/Seal Lite</v>
          </cell>
          <cell r="E43" t="str">
            <v>USWE[加州区]</v>
          </cell>
          <cell r="F43" t="str">
            <v>2026-05-19</v>
          </cell>
          <cell r="G43" t="str">
            <v/>
          </cell>
          <cell r="H43">
            <v>60</v>
          </cell>
          <cell r="I43">
            <v>26</v>
          </cell>
        </row>
        <row r="44">
          <cell r="A44" t="str">
            <v>6975925241200</v>
          </cell>
          <cell r="B44" t="str">
            <v>G10068-Q9476508753</v>
          </cell>
          <cell r="C44" t="str">
            <v>车顶吸盘安装套装</v>
          </cell>
          <cell r="D44" t="str">
            <v>Automotive Rooftop Mount</v>
          </cell>
          <cell r="E44" t="str">
            <v>USWE[加州区]</v>
          </cell>
          <cell r="F44" t="str">
            <v>2026-05-22</v>
          </cell>
          <cell r="G44" t="str">
            <v/>
          </cell>
          <cell r="H44">
            <v>1</v>
          </cell>
          <cell r="I44">
            <v>23</v>
          </cell>
        </row>
        <row r="45">
          <cell r="A45" t="str">
            <v>6975925241231</v>
          </cell>
          <cell r="B45" t="str">
            <v>G10068-A4935954961</v>
          </cell>
          <cell r="C45" t="str">
            <v>三维扫描仪Eagle JMK1 RTK</v>
          </cell>
          <cell r="D45" t="str">
            <v>3D Scanner Eagle JMK1 RTK</v>
          </cell>
          <cell r="E45" t="str">
            <v>USWE[加州区]</v>
          </cell>
          <cell r="F45" t="str">
            <v>2026-05-22</v>
          </cell>
          <cell r="G45" t="str">
            <v/>
          </cell>
          <cell r="H45">
            <v>1</v>
          </cell>
          <cell r="I45">
            <v>23</v>
          </cell>
        </row>
        <row r="46">
          <cell r="A46" t="str">
            <v>6975925241378</v>
          </cell>
          <cell r="B46" t="str">
            <v>G10068-S6729510507</v>
          </cell>
          <cell r="C46" t="str">
            <v>三维扫描仪Moose基础款(4规)</v>
          </cell>
          <cell r="D46" t="str">
            <v>3D Scanner Moose Standard</v>
          </cell>
          <cell r="E46" t="str">
            <v>USWE[加州区]</v>
          </cell>
          <cell r="F46" t="str">
            <v>2026-05-23</v>
          </cell>
          <cell r="G46" t="str">
            <v/>
          </cell>
          <cell r="H46">
            <v>20</v>
          </cell>
          <cell r="I46">
            <v>22</v>
          </cell>
        </row>
        <row r="47">
          <cell r="A47" t="str">
            <v>6975925241323</v>
          </cell>
          <cell r="B47" t="str">
            <v>G10068-L9214929219</v>
          </cell>
          <cell r="C47" t="str">
            <v>三维扫描仪Seal Lite基础款(4规)</v>
          </cell>
          <cell r="D47" t="str">
            <v>3D Scanner Seal Lite Standard</v>
          </cell>
          <cell r="E47" t="str">
            <v>USWE[加州区]</v>
          </cell>
          <cell r="F47" t="str">
            <v>2026-06-07</v>
          </cell>
          <cell r="G47" t="str">
            <v/>
          </cell>
          <cell r="H47">
            <v>72</v>
          </cell>
          <cell r="I47">
            <v>7</v>
          </cell>
        </row>
        <row r="48">
          <cell r="A48" t="str">
            <v>6975925241637</v>
          </cell>
          <cell r="B48" t="str">
            <v>G10068-V0441971502</v>
          </cell>
          <cell r="C48" t="str">
            <v>360相机套装</v>
          </cell>
          <cell r="D48" t="str">
            <v>360 Camera Kit</v>
          </cell>
          <cell r="E48" t="str">
            <v>USWE[加州区]</v>
          </cell>
          <cell r="F48" t="str">
            <v>2026-06-07</v>
          </cell>
          <cell r="G48" t="str">
            <v/>
          </cell>
          <cell r="H48">
            <v>32</v>
          </cell>
          <cell r="I48">
            <v>7</v>
          </cell>
        </row>
        <row r="49">
          <cell r="A49" t="str">
            <v>6975925241576</v>
          </cell>
          <cell r="B49" t="str">
            <v>G10068-Q0558973006</v>
          </cell>
          <cell r="C49" t="str">
            <v>三维扫描仪Raven Max升级款(4规）</v>
          </cell>
          <cell r="D49" t="str">
            <v>3D Scanner Raven Max Premium</v>
          </cell>
          <cell r="E49" t="str">
            <v>USWE[加州区]</v>
          </cell>
          <cell r="F49" t="str">
            <v>2026-06-07</v>
          </cell>
          <cell r="G49" t="str">
            <v/>
          </cell>
          <cell r="H49">
            <v>8</v>
          </cell>
          <cell r="I49">
            <v>7</v>
          </cell>
        </row>
        <row r="50">
          <cell r="A50" t="str">
            <v>6975925241613</v>
          </cell>
          <cell r="B50" t="str">
            <v>G10068-C1781003046</v>
          </cell>
          <cell r="C50" t="str">
            <v>三维扫描仪FOX(4规)</v>
          </cell>
          <cell r="D50" t="str">
            <v>3D Scanner FOX(EN)</v>
          </cell>
          <cell r="E50" t="str">
            <v>USWE[加州区]</v>
          </cell>
          <cell r="F50" t="str">
            <v>2026-06-12</v>
          </cell>
          <cell r="G50" t="str">
            <v/>
          </cell>
          <cell r="H50">
            <v>1</v>
          </cell>
          <cell r="I50">
            <v>2</v>
          </cell>
        </row>
        <row r="51">
          <cell r="A51" t="str">
            <v>6975925241293</v>
          </cell>
          <cell r="B51" t="str">
            <v>G10068-K7513965071</v>
          </cell>
          <cell r="C51" t="str">
            <v>三维扫描仪Seal基础款(4规)</v>
          </cell>
          <cell r="D51" t="str">
            <v>3D Scanner Seal Standard</v>
          </cell>
          <cell r="E51" t="str">
            <v>USWE[加州区]</v>
          </cell>
          <cell r="F51" t="str">
            <v>2026-06-13</v>
          </cell>
          <cell r="G51" t="str">
            <v/>
          </cell>
          <cell r="H51">
            <v>32</v>
          </cell>
          <cell r="I51">
            <v>1</v>
          </cell>
        </row>
        <row r="52">
          <cell r="A52" t="str">
            <v>6975925241378</v>
          </cell>
          <cell r="B52" t="str">
            <v>G10068-S6729510507</v>
          </cell>
          <cell r="C52" t="str">
            <v>三维扫描仪Moose基础款(4规)</v>
          </cell>
          <cell r="D52" t="str">
            <v>3D Scanner Moose Standard</v>
          </cell>
          <cell r="E52" t="str">
            <v>USWE[加州区]</v>
          </cell>
          <cell r="F52" t="str">
            <v>2026-06-13</v>
          </cell>
          <cell r="G52" t="str">
            <v/>
          </cell>
          <cell r="H52">
            <v>20</v>
          </cell>
          <cell r="I52">
            <v>1</v>
          </cell>
        </row>
      </sheetData>
      <sheetData sheetId="14">
        <row r="1">
          <cell r="A1" t="str">
            <v>商品编码</v>
          </cell>
          <cell r="B1" t="str">
            <v>参考编码</v>
          </cell>
          <cell r="C1" t="str">
            <v>谷仓商品条码</v>
          </cell>
          <cell r="D1" t="str">
            <v>商品合规状态</v>
          </cell>
          <cell r="E1" t="str">
            <v>商品中文名称</v>
          </cell>
          <cell r="F1" t="str">
            <v>商品英文名称</v>
          </cell>
          <cell r="G1" t="str">
            <v>商品状态</v>
          </cell>
          <cell r="H1" t="str">
            <v>仓库（区域）代码</v>
          </cell>
          <cell r="I1" t="str">
            <v>仓库（区域）名称</v>
          </cell>
          <cell r="J1" t="str">
            <v>预警库存(良品)</v>
          </cell>
          <cell r="K1" t="str">
            <v>海外在途</v>
          </cell>
          <cell r="L1" t="str">
            <v>总在途</v>
          </cell>
          <cell r="M1" t="str">
            <v>中转在途</v>
          </cell>
          <cell r="N1" t="str">
            <v>冻结</v>
          </cell>
          <cell r="O1" t="str">
            <v>良品可售</v>
          </cell>
          <cell r="P1" t="str">
            <v>良品待出库/预占</v>
          </cell>
          <cell r="Q1" t="str">
            <v>良品已出库</v>
          </cell>
        </row>
        <row r="2">
          <cell r="A2" t="str">
            <v>6975925240135</v>
          </cell>
          <cell r="B2" t="str">
            <v>1300100044</v>
          </cell>
          <cell r="C2" t="str">
            <v>G10068-6975925240135</v>
          </cell>
          <cell r="D2" t="str">
            <v>正常</v>
          </cell>
          <cell r="E2" t="str">
            <v>三维扫描仪 MOLE 3D Scanner Standard</v>
          </cell>
          <cell r="F2" t="str">
            <v>3D SCANNER Mole Standard</v>
          </cell>
          <cell r="G2" t="str">
            <v>可用</v>
          </cell>
          <cell r="H2" t="str">
            <v>DE</v>
          </cell>
          <cell r="I2" t="str">
            <v>德国区</v>
          </cell>
          <cell r="J2">
            <v>0</v>
          </cell>
          <cell r="K2">
            <v>16</v>
          </cell>
          <cell r="L2">
            <v>16</v>
          </cell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64</v>
          </cell>
        </row>
        <row r="3">
          <cell r="A3" t="str">
            <v>6975925240142</v>
          </cell>
          <cell r="B3" t="str">
            <v>1300100038</v>
          </cell>
          <cell r="C3" t="str">
            <v>G10068-6975925240142</v>
          </cell>
          <cell r="D3" t="str">
            <v>正常</v>
          </cell>
          <cell r="E3" t="str">
            <v>三维扫描仪 MOLE 3D Scanner Premium</v>
          </cell>
          <cell r="F3" t="str">
            <v>3D SCANNER Mole Premium</v>
          </cell>
          <cell r="G3" t="str">
            <v>可用</v>
          </cell>
          <cell r="H3" t="str">
            <v>DE</v>
          </cell>
          <cell r="I3" t="str">
            <v>德国区</v>
          </cell>
          <cell r="J3">
            <v>0</v>
          </cell>
          <cell r="K3">
            <v>24</v>
          </cell>
          <cell r="L3">
            <v>24</v>
          </cell>
          <cell r="M3">
            <v>0</v>
          </cell>
          <cell r="N3">
            <v>0</v>
          </cell>
          <cell r="O3">
            <v>22</v>
          </cell>
          <cell r="P3">
            <v>0</v>
          </cell>
          <cell r="Q3">
            <v>71</v>
          </cell>
        </row>
        <row r="4">
          <cell r="A4" t="str">
            <v>6975925240159</v>
          </cell>
          <cell r="B4" t="str">
            <v>1300100039</v>
          </cell>
          <cell r="C4" t="str">
            <v>G10068-6975925240159</v>
          </cell>
          <cell r="D4" t="str">
            <v>正常</v>
          </cell>
          <cell r="E4" t="str">
            <v>三维扫描仪 MOLE 3D Scanner Luxury</v>
          </cell>
          <cell r="F4" t="str">
            <v>3D SCANNER Mole Luxury</v>
          </cell>
          <cell r="G4" t="str">
            <v>可用</v>
          </cell>
          <cell r="H4" t="str">
            <v>DE</v>
          </cell>
          <cell r="I4" t="str">
            <v>德国区</v>
          </cell>
          <cell r="J4">
            <v>0</v>
          </cell>
          <cell r="K4">
            <v>0</v>
          </cell>
          <cell r="L4">
            <v>0</v>
          </cell>
          <cell r="M4">
            <v>0</v>
          </cell>
          <cell r="N4">
            <v>0</v>
          </cell>
          <cell r="O4">
            <v>14</v>
          </cell>
          <cell r="P4">
            <v>0</v>
          </cell>
          <cell r="Q4">
            <v>55</v>
          </cell>
        </row>
        <row r="5">
          <cell r="A5" t="str">
            <v>6975925240289</v>
          </cell>
          <cell r="B5" t="str">
            <v>1300100076</v>
          </cell>
          <cell r="C5" t="str">
            <v>G10068-6975925240289</v>
          </cell>
          <cell r="D5" t="str">
            <v>正常</v>
          </cell>
          <cell r="E5" t="str">
            <v>转台Lizard/Mole</v>
          </cell>
          <cell r="F5" t="str">
            <v>Turntable for Lizard/Mole</v>
          </cell>
          <cell r="G5" t="str">
            <v>可用</v>
          </cell>
          <cell r="H5" t="str">
            <v>DE</v>
          </cell>
          <cell r="I5" t="str">
            <v>德国区</v>
          </cell>
          <cell r="J5">
            <v>0</v>
          </cell>
          <cell r="K5">
            <v>0</v>
          </cell>
          <cell r="L5">
            <v>0</v>
          </cell>
          <cell r="M5">
            <v>0</v>
          </cell>
          <cell r="N5">
            <v>0</v>
          </cell>
          <cell r="O5">
            <v>0</v>
          </cell>
          <cell r="P5">
            <v>0</v>
          </cell>
          <cell r="Q5">
            <v>36</v>
          </cell>
        </row>
        <row r="6">
          <cell r="A6" t="str">
            <v>6975925240609</v>
          </cell>
          <cell r="B6" t="str">
            <v>1300100134</v>
          </cell>
          <cell r="C6" t="str">
            <v>G10068-6975925240609</v>
          </cell>
          <cell r="D6" t="str">
            <v>正常</v>
          </cell>
          <cell r="E6" t="str">
            <v>三维扫描仪Seal 基础款(美欧)</v>
          </cell>
          <cell r="F6" t="str">
            <v>3D Scanner Seal Standard(US/EU)</v>
          </cell>
          <cell r="G6" t="str">
            <v>可用</v>
          </cell>
          <cell r="H6" t="str">
            <v>DE</v>
          </cell>
          <cell r="I6" t="str">
            <v>德国区</v>
          </cell>
          <cell r="J6">
            <v>0</v>
          </cell>
          <cell r="K6">
            <v>0</v>
          </cell>
          <cell r="L6">
            <v>0</v>
          </cell>
          <cell r="M6">
            <v>0</v>
          </cell>
          <cell r="N6">
            <v>0</v>
          </cell>
          <cell r="O6">
            <v>0</v>
          </cell>
          <cell r="P6">
            <v>0</v>
          </cell>
          <cell r="Q6">
            <v>241</v>
          </cell>
        </row>
        <row r="7">
          <cell r="A7" t="str">
            <v>6975925240685</v>
          </cell>
          <cell r="B7" t="str">
            <v>1300100125</v>
          </cell>
          <cell r="C7" t="str">
            <v>G10068-6975925240685</v>
          </cell>
          <cell r="D7" t="str">
            <v>正常</v>
          </cell>
          <cell r="E7" t="str">
            <v>三维扫描仪Seal Lite基础款(美欧)</v>
          </cell>
          <cell r="F7" t="str">
            <v>3D Scanner Seal Lite Standard(US/EU)</v>
          </cell>
          <cell r="G7" t="str">
            <v>可用</v>
          </cell>
          <cell r="H7" t="str">
            <v>DE</v>
          </cell>
          <cell r="I7" t="str">
            <v>德国区</v>
          </cell>
          <cell r="J7">
            <v>0</v>
          </cell>
          <cell r="K7">
            <v>0</v>
          </cell>
          <cell r="L7">
            <v>0</v>
          </cell>
          <cell r="M7">
            <v>0</v>
          </cell>
          <cell r="N7">
            <v>0</v>
          </cell>
          <cell r="O7">
            <v>0</v>
          </cell>
          <cell r="P7">
            <v>0</v>
          </cell>
          <cell r="Q7">
            <v>272</v>
          </cell>
        </row>
        <row r="8">
          <cell r="A8" t="str">
            <v>6975925240739</v>
          </cell>
          <cell r="B8" t="str">
            <v>1300100082</v>
          </cell>
          <cell r="C8" t="str">
            <v>G10068-6975925240739</v>
          </cell>
          <cell r="D8" t="str">
            <v>正常</v>
          </cell>
          <cell r="E8" t="str">
            <v>Seal 手柄</v>
          </cell>
          <cell r="F8" t="str">
            <v>Seal Smart Grip</v>
          </cell>
          <cell r="G8" t="str">
            <v>可用</v>
          </cell>
          <cell r="H8" t="str">
            <v>DE</v>
          </cell>
          <cell r="I8" t="str">
            <v>德国区</v>
          </cell>
          <cell r="J8">
            <v>0</v>
          </cell>
          <cell r="K8">
            <v>0</v>
          </cell>
          <cell r="L8">
            <v>0</v>
          </cell>
          <cell r="M8">
            <v>0</v>
          </cell>
          <cell r="N8">
            <v>0</v>
          </cell>
          <cell r="O8">
            <v>100</v>
          </cell>
          <cell r="P8">
            <v>0</v>
          </cell>
          <cell r="Q8">
            <v>322</v>
          </cell>
        </row>
        <row r="9">
          <cell r="A9" t="str">
            <v>6975925240746</v>
          </cell>
          <cell r="B9" t="str">
            <v>1300100118</v>
          </cell>
          <cell r="C9" t="str">
            <v>G10068-6975925240746</v>
          </cell>
          <cell r="D9" t="str">
            <v>正常</v>
          </cell>
          <cell r="E9" t="str">
            <v>Seal/Seal Lite转台</v>
          </cell>
          <cell r="F9" t="str">
            <v>Turntable for Seal/Seal Lite</v>
          </cell>
          <cell r="G9" t="str">
            <v>可用</v>
          </cell>
          <cell r="H9" t="str">
            <v>DE</v>
          </cell>
          <cell r="I9" t="str">
            <v>德国区</v>
          </cell>
          <cell r="J9">
            <v>0</v>
          </cell>
          <cell r="K9">
            <v>0</v>
          </cell>
          <cell r="L9">
            <v>0</v>
          </cell>
          <cell r="M9">
            <v>0</v>
          </cell>
          <cell r="N9">
            <v>0</v>
          </cell>
          <cell r="O9">
            <v>119</v>
          </cell>
          <cell r="P9">
            <v>0</v>
          </cell>
          <cell r="Q9">
            <v>957</v>
          </cell>
        </row>
        <row r="10">
          <cell r="A10" t="str">
            <v>6975925240760</v>
          </cell>
          <cell r="B10" t="str">
            <v>1300100089</v>
          </cell>
          <cell r="C10" t="str">
            <v>G10068-6975925240760</v>
          </cell>
          <cell r="D10" t="str">
            <v>正常</v>
          </cell>
          <cell r="E10" t="str">
            <v>Seal双轴转台(欧规)</v>
          </cell>
          <cell r="F10" t="str">
            <v>Multi-Axis Turntable for Seal(EU)</v>
          </cell>
          <cell r="G10" t="str">
            <v>可用</v>
          </cell>
          <cell r="H10" t="str">
            <v>DE</v>
          </cell>
          <cell r="I10" t="str">
            <v>德国区</v>
          </cell>
          <cell r="J10">
            <v>0</v>
          </cell>
          <cell r="K10">
            <v>0</v>
          </cell>
          <cell r="L10">
            <v>0</v>
          </cell>
          <cell r="M10">
            <v>0</v>
          </cell>
          <cell r="N10">
            <v>0</v>
          </cell>
          <cell r="O10">
            <v>0</v>
          </cell>
          <cell r="P10">
            <v>0</v>
          </cell>
          <cell r="Q10">
            <v>58</v>
          </cell>
        </row>
        <row r="11">
          <cell r="A11" t="str">
            <v>6975925240845</v>
          </cell>
          <cell r="B11" t="str">
            <v>1300100158</v>
          </cell>
          <cell r="C11" t="str">
            <v>G10068-6975925240845</v>
          </cell>
          <cell r="D11" t="str">
            <v>正常</v>
          </cell>
          <cell r="E11" t="str">
            <v>三维扫描仪Moose基础款(美欧)</v>
          </cell>
          <cell r="F11" t="str">
            <v>3D Scanner Moose Standard(US/EU)</v>
          </cell>
          <cell r="G11" t="str">
            <v>可用</v>
          </cell>
          <cell r="H11" t="str">
            <v>DE</v>
          </cell>
          <cell r="I11" t="str">
            <v>德国区</v>
          </cell>
          <cell r="J11">
            <v>0</v>
          </cell>
          <cell r="K11">
            <v>0</v>
          </cell>
          <cell r="L11">
            <v>0</v>
          </cell>
          <cell r="M11">
            <v>0</v>
          </cell>
          <cell r="N11">
            <v>0</v>
          </cell>
          <cell r="O11">
            <v>0</v>
          </cell>
          <cell r="P11">
            <v>0</v>
          </cell>
          <cell r="Q11">
            <v>1084</v>
          </cell>
        </row>
        <row r="12">
          <cell r="A12" t="str">
            <v>6975925240883</v>
          </cell>
          <cell r="B12" t="str">
            <v>1300100162</v>
          </cell>
          <cell r="C12" t="str">
            <v>G10068-6975925240883</v>
          </cell>
          <cell r="D12" t="str">
            <v>正常</v>
          </cell>
          <cell r="E12" t="str">
            <v>三维扫描仪Moose Lite基础款(美欧)</v>
          </cell>
          <cell r="F12" t="str">
            <v>3D Scanner Moose Lite Standard(US/EU)</v>
          </cell>
          <cell r="G12" t="str">
            <v>可用</v>
          </cell>
          <cell r="H12" t="str">
            <v>DE</v>
          </cell>
          <cell r="I12" t="str">
            <v>德国区</v>
          </cell>
          <cell r="J12">
            <v>0</v>
          </cell>
          <cell r="K12">
            <v>0</v>
          </cell>
          <cell r="L12">
            <v>0</v>
          </cell>
          <cell r="M12">
            <v>0</v>
          </cell>
          <cell r="N12">
            <v>0</v>
          </cell>
          <cell r="O12">
            <v>0</v>
          </cell>
          <cell r="P12">
            <v>0</v>
          </cell>
          <cell r="Q12">
            <v>797</v>
          </cell>
        </row>
        <row r="13">
          <cell r="A13" t="str">
            <v>6975925240753</v>
          </cell>
          <cell r="B13" t="str">
            <v>1200100064</v>
          </cell>
          <cell r="C13" t="str">
            <v>G10068-6975925240753</v>
          </cell>
          <cell r="D13" t="str">
            <v>正常</v>
          </cell>
          <cell r="E13" t="str">
            <v>Seal三脚架</v>
          </cell>
          <cell r="F13" t="str">
            <v>Tripod for Seal</v>
          </cell>
          <cell r="G13" t="str">
            <v>可用</v>
          </cell>
          <cell r="H13" t="str">
            <v>DE</v>
          </cell>
          <cell r="I13" t="str">
            <v>德国区</v>
          </cell>
          <cell r="J13">
            <v>0</v>
          </cell>
          <cell r="K13">
            <v>0</v>
          </cell>
          <cell r="L13">
            <v>0</v>
          </cell>
          <cell r="M13">
            <v>0</v>
          </cell>
          <cell r="N13">
            <v>0</v>
          </cell>
          <cell r="O13">
            <v>122</v>
          </cell>
          <cell r="P13">
            <v>0</v>
          </cell>
          <cell r="Q13">
            <v>278</v>
          </cell>
        </row>
        <row r="14">
          <cell r="A14" t="str">
            <v>6975925241033</v>
          </cell>
          <cell r="B14" t="str">
            <v>1021900174</v>
          </cell>
          <cell r="C14" t="str">
            <v>G10068-6975925241033</v>
          </cell>
          <cell r="D14" t="str">
            <v>正常</v>
          </cell>
          <cell r="E14" t="str">
            <v>智能手柄数据线</v>
          </cell>
          <cell r="F14" t="str">
            <v>Cable for 3D Scanner Smart Grip</v>
          </cell>
          <cell r="G14" t="str">
            <v>可用</v>
          </cell>
          <cell r="H14" t="str">
            <v>DE</v>
          </cell>
          <cell r="I14" t="str">
            <v>德国区</v>
          </cell>
          <cell r="J14">
            <v>0</v>
          </cell>
          <cell r="K14">
            <v>0</v>
          </cell>
          <cell r="L14">
            <v>0</v>
          </cell>
          <cell r="M14">
            <v>0</v>
          </cell>
          <cell r="N14">
            <v>0</v>
          </cell>
          <cell r="O14">
            <v>84</v>
          </cell>
          <cell r="P14">
            <v>0</v>
          </cell>
          <cell r="Q14">
            <v>199</v>
          </cell>
        </row>
        <row r="15">
          <cell r="A15" t="str">
            <v>6975925240029</v>
          </cell>
          <cell r="B15" t="str">
            <v>1300100003</v>
          </cell>
          <cell r="C15" t="str">
            <v>G10068-6975925240029</v>
          </cell>
          <cell r="D15" t="str">
            <v>正常</v>
          </cell>
          <cell r="E15" t="str">
            <v>三维扫描仪Magic Swift Plus黑白款升级版</v>
          </cell>
          <cell r="F15" t="str">
            <v>3D SCANNER Magic Swift Plus  Monochrome Premium</v>
          </cell>
          <cell r="G15" t="str">
            <v>可用</v>
          </cell>
          <cell r="H15" t="str">
            <v>DE</v>
          </cell>
          <cell r="I15" t="str">
            <v>德国区</v>
          </cell>
          <cell r="J15">
            <v>0</v>
          </cell>
          <cell r="K15">
            <v>0</v>
          </cell>
          <cell r="L15">
            <v>0</v>
          </cell>
          <cell r="M15">
            <v>0</v>
          </cell>
          <cell r="N15">
            <v>0</v>
          </cell>
          <cell r="O15">
            <v>0</v>
          </cell>
          <cell r="P15">
            <v>0</v>
          </cell>
          <cell r="Q15">
            <v>4</v>
          </cell>
        </row>
        <row r="16">
          <cell r="A16" t="str">
            <v>6975925240036</v>
          </cell>
          <cell r="B16" t="str">
            <v>1300100017</v>
          </cell>
          <cell r="C16" t="str">
            <v>G10068-6975925240036</v>
          </cell>
          <cell r="D16" t="str">
            <v>正常</v>
          </cell>
          <cell r="E16" t="str">
            <v>三维扫描仪Magic Swift Plus黑白款豪华版</v>
          </cell>
          <cell r="F16" t="str">
            <v>3D SCANNER Magic Swift Plus  Monochrome Luxury</v>
          </cell>
          <cell r="G16" t="str">
            <v>可用</v>
          </cell>
          <cell r="H16" t="str">
            <v>DE</v>
          </cell>
          <cell r="I16" t="str">
            <v>德国区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  <cell r="Q16">
            <v>3</v>
          </cell>
        </row>
        <row r="17">
          <cell r="A17" t="str">
            <v>6975925240517</v>
          </cell>
          <cell r="B17" t="str">
            <v>1300100111</v>
          </cell>
          <cell r="C17" t="str">
            <v>G10068-6975925240517</v>
          </cell>
          <cell r="D17" t="str">
            <v>正常</v>
          </cell>
          <cell r="E17" t="str">
            <v>三维扫描仪Lynx基础款(欧规)</v>
          </cell>
          <cell r="F17" t="str">
            <v>3D Scanner Lynx Standard(EU)</v>
          </cell>
          <cell r="G17" t="str">
            <v>可用</v>
          </cell>
          <cell r="H17" t="str">
            <v>DE</v>
          </cell>
          <cell r="I17" t="str">
            <v>德国区</v>
          </cell>
          <cell r="J17">
            <v>0</v>
          </cell>
          <cell r="K17">
            <v>0</v>
          </cell>
          <cell r="L17">
            <v>0</v>
          </cell>
          <cell r="M17">
            <v>0</v>
          </cell>
          <cell r="N17">
            <v>0</v>
          </cell>
          <cell r="O17">
            <v>16</v>
          </cell>
          <cell r="P17">
            <v>1</v>
          </cell>
          <cell r="Q17">
            <v>144</v>
          </cell>
        </row>
        <row r="18">
          <cell r="A18" t="str">
            <v>6975925240524</v>
          </cell>
          <cell r="B18" t="str">
            <v>1300100112</v>
          </cell>
          <cell r="C18" t="str">
            <v>G10068-6975925240524</v>
          </cell>
          <cell r="D18" t="str">
            <v>正常</v>
          </cell>
          <cell r="E18" t="str">
            <v>三维扫描仪Lynx升级款(欧规)</v>
          </cell>
          <cell r="F18" t="str">
            <v>3D Scanner Lynx Premium(EU)</v>
          </cell>
          <cell r="G18" t="str">
            <v>可用</v>
          </cell>
          <cell r="H18" t="str">
            <v>DE</v>
          </cell>
          <cell r="I18" t="str">
            <v>德国区</v>
          </cell>
          <cell r="J18">
            <v>0</v>
          </cell>
          <cell r="K18">
            <v>0</v>
          </cell>
          <cell r="L18">
            <v>0</v>
          </cell>
          <cell r="M18">
            <v>0</v>
          </cell>
          <cell r="N18">
            <v>0</v>
          </cell>
          <cell r="O18">
            <v>0</v>
          </cell>
          <cell r="P18">
            <v>0</v>
          </cell>
          <cell r="Q18">
            <v>112</v>
          </cell>
        </row>
        <row r="19">
          <cell r="A19" t="str">
            <v>6975925240531</v>
          </cell>
          <cell r="B19" t="str">
            <v>1300100113</v>
          </cell>
          <cell r="C19" t="str">
            <v>G10068-6975925240531</v>
          </cell>
          <cell r="D19" t="str">
            <v>正常</v>
          </cell>
          <cell r="E19" t="str">
            <v>三维扫描仪Lynx豪华款(欧规)</v>
          </cell>
          <cell r="F19" t="str">
            <v>3D Scanner Lynx Luxury(EU)</v>
          </cell>
          <cell r="G19" t="str">
            <v>可用</v>
          </cell>
          <cell r="H19" t="str">
            <v>DE</v>
          </cell>
          <cell r="I19" t="str">
            <v>德国区</v>
          </cell>
          <cell r="J19">
            <v>0</v>
          </cell>
          <cell r="K19">
            <v>0</v>
          </cell>
          <cell r="L19">
            <v>0</v>
          </cell>
          <cell r="M19">
            <v>0</v>
          </cell>
          <cell r="N19">
            <v>0</v>
          </cell>
          <cell r="O19">
            <v>28</v>
          </cell>
          <cell r="P19">
            <v>0</v>
          </cell>
          <cell r="Q19">
            <v>94</v>
          </cell>
        </row>
        <row r="20">
          <cell r="A20" t="str">
            <v>6975925240265</v>
          </cell>
          <cell r="B20" t="str">
            <v>1300100078</v>
          </cell>
          <cell r="C20" t="str">
            <v>G10068-6975925240265</v>
          </cell>
          <cell r="D20" t="str">
            <v>正常</v>
          </cell>
          <cell r="E20" t="str">
            <v>设备线缆 4m Device cable for Lynx 3D Scanner</v>
          </cell>
          <cell r="F20" t="str">
            <v>4m Device cable for Lynx 3D Scanner</v>
          </cell>
          <cell r="G20" t="str">
            <v>可用</v>
          </cell>
          <cell r="H20" t="str">
            <v>DE</v>
          </cell>
          <cell r="I20" t="str">
            <v>德国区</v>
          </cell>
          <cell r="J20">
            <v>0</v>
          </cell>
          <cell r="K20">
            <v>0</v>
          </cell>
          <cell r="L20">
            <v>0</v>
          </cell>
          <cell r="M20">
            <v>0</v>
          </cell>
          <cell r="N20">
            <v>0</v>
          </cell>
          <cell r="O20">
            <v>0</v>
          </cell>
          <cell r="P20">
            <v>0</v>
          </cell>
          <cell r="Q20">
            <v>50</v>
          </cell>
        </row>
        <row r="21">
          <cell r="A21" t="str">
            <v>6975925241101</v>
          </cell>
          <cell r="B21" t="str">
            <v>1300100190</v>
          </cell>
          <cell r="C21" t="str">
            <v>G10068-L1854942151</v>
          </cell>
          <cell r="D21" t="str">
            <v>正常</v>
          </cell>
          <cell r="E21" t="str">
            <v>三维扫描仪Moose豪华款(美欧)</v>
          </cell>
          <cell r="F21" t="str">
            <v>3D Scanner Moose Luxury(US/EU)</v>
          </cell>
          <cell r="G21" t="str">
            <v>可用</v>
          </cell>
          <cell r="H21" t="str">
            <v>DE</v>
          </cell>
          <cell r="I21" t="str">
            <v>德国区</v>
          </cell>
          <cell r="J21">
            <v>0</v>
          </cell>
          <cell r="K21">
            <v>0</v>
          </cell>
          <cell r="L21">
            <v>0</v>
          </cell>
          <cell r="M21">
            <v>0</v>
          </cell>
          <cell r="N21">
            <v>0</v>
          </cell>
          <cell r="O21">
            <v>0</v>
          </cell>
          <cell r="P21">
            <v>0</v>
          </cell>
          <cell r="Q21">
            <v>200</v>
          </cell>
        </row>
        <row r="22">
          <cell r="A22" t="str">
            <v>6975925241118</v>
          </cell>
          <cell r="B22" t="str">
            <v>1300100197</v>
          </cell>
          <cell r="C22" t="str">
            <v>G10068-W3489636781</v>
          </cell>
          <cell r="D22" t="str">
            <v>正常</v>
          </cell>
          <cell r="E22" t="str">
            <v>三维扫描仪Moose Lite豪华款(美欧)</v>
          </cell>
          <cell r="F22" t="str">
            <v>3D Scanner Moose Lite Luxury(US/EU)</v>
          </cell>
          <cell r="G22" t="str">
            <v>可用</v>
          </cell>
          <cell r="H22" t="str">
            <v>DE</v>
          </cell>
          <cell r="I22" t="str">
            <v>德国区</v>
          </cell>
          <cell r="J22">
            <v>0</v>
          </cell>
          <cell r="K22">
            <v>0</v>
          </cell>
          <cell r="L22">
            <v>0</v>
          </cell>
          <cell r="M22">
            <v>0</v>
          </cell>
          <cell r="N22">
            <v>0</v>
          </cell>
          <cell r="O22">
            <v>0</v>
          </cell>
          <cell r="P22">
            <v>0</v>
          </cell>
          <cell r="Q22">
            <v>40</v>
          </cell>
        </row>
        <row r="23">
          <cell r="A23" t="str">
            <v>6975925240920</v>
          </cell>
          <cell r="B23" t="str">
            <v>1300100168</v>
          </cell>
          <cell r="C23" t="str">
            <v>G10068-R6205787108</v>
          </cell>
          <cell r="D23" t="str">
            <v>正常</v>
          </cell>
          <cell r="E23" t="str">
            <v>三维扫描仪Moose升级款(美欧)</v>
          </cell>
          <cell r="F23" t="str">
            <v>3D Scanner Moose Premium(US/EU)</v>
          </cell>
          <cell r="G23" t="str">
            <v>可用</v>
          </cell>
          <cell r="H23" t="str">
            <v>DE</v>
          </cell>
          <cell r="I23" t="str">
            <v>德国区</v>
          </cell>
          <cell r="J23">
            <v>0</v>
          </cell>
          <cell r="K23">
            <v>0</v>
          </cell>
          <cell r="L23">
            <v>0</v>
          </cell>
          <cell r="M23">
            <v>0</v>
          </cell>
          <cell r="N23">
            <v>0</v>
          </cell>
          <cell r="O23">
            <v>0</v>
          </cell>
          <cell r="P23">
            <v>0</v>
          </cell>
          <cell r="Q23">
            <v>193</v>
          </cell>
        </row>
        <row r="24">
          <cell r="A24" t="str">
            <v>6975925240968</v>
          </cell>
          <cell r="B24" t="str">
            <v>1300100172</v>
          </cell>
          <cell r="C24" t="str">
            <v>G10068-X6559775294</v>
          </cell>
          <cell r="D24" t="str">
            <v>正常</v>
          </cell>
          <cell r="E24" t="str">
            <v>三维扫描仪Moose Lite升级款(美欧)</v>
          </cell>
          <cell r="F24" t="str">
            <v>3D Scanner Moose Lite Premium(US/EU)</v>
          </cell>
          <cell r="G24" t="str">
            <v>可用</v>
          </cell>
          <cell r="H24" t="str">
            <v>DE</v>
          </cell>
          <cell r="I24" t="str">
            <v>德国区</v>
          </cell>
          <cell r="J24">
            <v>0</v>
          </cell>
          <cell r="K24">
            <v>0</v>
          </cell>
          <cell r="L24">
            <v>0</v>
          </cell>
          <cell r="M24">
            <v>0</v>
          </cell>
          <cell r="N24">
            <v>0</v>
          </cell>
          <cell r="O24">
            <v>0</v>
          </cell>
          <cell r="P24">
            <v>0</v>
          </cell>
          <cell r="Q24">
            <v>133</v>
          </cell>
        </row>
        <row r="25">
          <cell r="A25" t="str">
            <v>6975925241231</v>
          </cell>
          <cell r="B25" t="str">
            <v>1300100211</v>
          </cell>
          <cell r="C25" t="str">
            <v>G10068-A4935954961</v>
          </cell>
          <cell r="D25" t="str">
            <v>正常</v>
          </cell>
          <cell r="E25" t="str">
            <v>三维扫描仪Eagle JMK1 RTK</v>
          </cell>
          <cell r="F25" t="str">
            <v>3D Scanner Eagle JMK1 RTK</v>
          </cell>
          <cell r="G25" t="str">
            <v>可用</v>
          </cell>
          <cell r="H25" t="str">
            <v>DE</v>
          </cell>
          <cell r="I25" t="str">
            <v>德国区</v>
          </cell>
          <cell r="J25">
            <v>0</v>
          </cell>
          <cell r="K25">
            <v>0</v>
          </cell>
          <cell r="L25">
            <v>0</v>
          </cell>
          <cell r="M25">
            <v>0</v>
          </cell>
          <cell r="N25">
            <v>0</v>
          </cell>
          <cell r="O25">
            <v>53</v>
          </cell>
          <cell r="P25">
            <v>0</v>
          </cell>
          <cell r="Q25">
            <v>193</v>
          </cell>
        </row>
        <row r="26">
          <cell r="A26" t="str">
            <v>6975925241712</v>
          </cell>
          <cell r="B26" t="str">
            <v>1300100203</v>
          </cell>
          <cell r="C26" t="str">
            <v>G10068-C7129156017</v>
          </cell>
          <cell r="D26" t="str">
            <v>正常</v>
          </cell>
          <cell r="E26" t="str">
            <v>三维扫描仪Eagle JMK2</v>
          </cell>
          <cell r="F26" t="str">
            <v>3D Scanner Eagle JMK2</v>
          </cell>
          <cell r="G26" t="str">
            <v>可用</v>
          </cell>
          <cell r="H26" t="str">
            <v>DE</v>
          </cell>
          <cell r="I26" t="str">
            <v>德国区</v>
          </cell>
          <cell r="J26">
            <v>0</v>
          </cell>
          <cell r="K26">
            <v>0</v>
          </cell>
          <cell r="L26">
            <v>0</v>
          </cell>
          <cell r="M26">
            <v>0</v>
          </cell>
          <cell r="N26">
            <v>0</v>
          </cell>
          <cell r="O26">
            <v>0</v>
          </cell>
          <cell r="P26">
            <v>0</v>
          </cell>
          <cell r="Q26">
            <v>9</v>
          </cell>
        </row>
        <row r="27">
          <cell r="A27" t="str">
            <v>6975925241248</v>
          </cell>
          <cell r="B27" t="str">
            <v>1300100212</v>
          </cell>
          <cell r="C27" t="str">
            <v>G10068-D4331561160</v>
          </cell>
          <cell r="D27" t="str">
            <v>正常</v>
          </cell>
          <cell r="E27" t="str">
            <v>三维扫描仪Eagle JMK2 RTK</v>
          </cell>
          <cell r="F27" t="str">
            <v>3D Scanner Eagle JMK2 RTK</v>
          </cell>
          <cell r="G27" t="str">
            <v>可用</v>
          </cell>
          <cell r="H27" t="str">
            <v>DE</v>
          </cell>
          <cell r="I27" t="str">
            <v>德国区</v>
          </cell>
          <cell r="J27">
            <v>0</v>
          </cell>
          <cell r="K27">
            <v>0</v>
          </cell>
          <cell r="L27">
            <v>0</v>
          </cell>
          <cell r="M27">
            <v>0</v>
          </cell>
          <cell r="N27">
            <v>0</v>
          </cell>
          <cell r="O27">
            <v>16</v>
          </cell>
          <cell r="P27">
            <v>0</v>
          </cell>
          <cell r="Q27">
            <v>83</v>
          </cell>
        </row>
        <row r="28">
          <cell r="A28" t="str">
            <v>6975925241170</v>
          </cell>
          <cell r="B28" t="str">
            <v>1300100194</v>
          </cell>
          <cell r="C28" t="str">
            <v>G10068-F7437902748</v>
          </cell>
          <cell r="D28" t="str">
            <v>正常</v>
          </cell>
          <cell r="E28" t="str">
            <v>三维扫描仪Eagle JMK1</v>
          </cell>
          <cell r="F28" t="str">
            <v>3D Scanner Eagle JMK1</v>
          </cell>
          <cell r="G28" t="str">
            <v>可用</v>
          </cell>
          <cell r="H28" t="str">
            <v>DE</v>
          </cell>
          <cell r="I28" t="str">
            <v>德国区</v>
          </cell>
          <cell r="J28">
            <v>0</v>
          </cell>
          <cell r="K28">
            <v>0</v>
          </cell>
          <cell r="L28">
            <v>0</v>
          </cell>
          <cell r="M28">
            <v>0</v>
          </cell>
          <cell r="N28">
            <v>0</v>
          </cell>
          <cell r="O28">
            <v>4</v>
          </cell>
          <cell r="P28">
            <v>0</v>
          </cell>
          <cell r="Q28">
            <v>33</v>
          </cell>
        </row>
        <row r="29">
          <cell r="A29" t="str">
            <v>6975925241187</v>
          </cell>
          <cell r="B29" t="str">
            <v>1300100205</v>
          </cell>
          <cell r="C29" t="str">
            <v>G10068-G0853083951</v>
          </cell>
          <cell r="D29" t="str">
            <v>正常</v>
          </cell>
          <cell r="E29" t="str">
            <v>钢化膜套装</v>
          </cell>
          <cell r="F29" t="str">
            <v>Tempered Glass</v>
          </cell>
          <cell r="G29" t="str">
            <v>可用</v>
          </cell>
          <cell r="H29" t="str">
            <v>DE</v>
          </cell>
          <cell r="I29" t="str">
            <v>德国区</v>
          </cell>
          <cell r="J29">
            <v>0</v>
          </cell>
          <cell r="K29">
            <v>0</v>
          </cell>
          <cell r="L29">
            <v>0</v>
          </cell>
          <cell r="M29">
            <v>0</v>
          </cell>
          <cell r="N29">
            <v>0</v>
          </cell>
          <cell r="O29">
            <v>10</v>
          </cell>
          <cell r="P29">
            <v>0</v>
          </cell>
          <cell r="Q29">
            <v>80</v>
          </cell>
        </row>
        <row r="30">
          <cell r="A30" t="str">
            <v>6975925241224</v>
          </cell>
          <cell r="B30" t="str">
            <v>1300100209</v>
          </cell>
          <cell r="C30" t="str">
            <v>G10068-K6842757167</v>
          </cell>
          <cell r="D30" t="str">
            <v>正常</v>
          </cell>
          <cell r="E30" t="str">
            <v>自行车支架套装</v>
          </cell>
          <cell r="F30" t="str">
            <v>Bicycle Kit</v>
          </cell>
          <cell r="G30" t="str">
            <v>可用</v>
          </cell>
          <cell r="H30" t="str">
            <v>DE</v>
          </cell>
          <cell r="I30" t="str">
            <v>德国区</v>
          </cell>
          <cell r="J30">
            <v>0</v>
          </cell>
          <cell r="K30">
            <v>0</v>
          </cell>
          <cell r="L30">
            <v>0</v>
          </cell>
          <cell r="M30">
            <v>0</v>
          </cell>
          <cell r="N30">
            <v>0</v>
          </cell>
          <cell r="O30">
            <v>26</v>
          </cell>
          <cell r="P30">
            <v>0</v>
          </cell>
          <cell r="Q30">
            <v>30</v>
          </cell>
        </row>
        <row r="31">
          <cell r="A31" t="str">
            <v>6975925241194</v>
          </cell>
          <cell r="B31" t="str">
            <v>1050100021</v>
          </cell>
          <cell r="C31" t="str">
            <v>G10068-P3917814400</v>
          </cell>
          <cell r="D31" t="str">
            <v>正常</v>
          </cell>
          <cell r="E31" t="str">
            <v>三脚架</v>
          </cell>
          <cell r="F31" t="str">
            <v>Manual Tripod</v>
          </cell>
          <cell r="G31" t="str">
            <v>可用</v>
          </cell>
          <cell r="H31" t="str">
            <v>DE</v>
          </cell>
          <cell r="I31" t="str">
            <v>德国区</v>
          </cell>
          <cell r="J31">
            <v>0</v>
          </cell>
          <cell r="K31">
            <v>0</v>
          </cell>
          <cell r="L31">
            <v>0</v>
          </cell>
          <cell r="M31">
            <v>0</v>
          </cell>
          <cell r="N31">
            <v>0</v>
          </cell>
          <cell r="O31">
            <v>5</v>
          </cell>
          <cell r="P31">
            <v>0</v>
          </cell>
          <cell r="Q31">
            <v>34</v>
          </cell>
        </row>
        <row r="32">
          <cell r="A32" t="str">
            <v>6975925241279</v>
          </cell>
          <cell r="B32" t="str">
            <v>1021900168</v>
          </cell>
          <cell r="C32" t="str">
            <v>G10068-H1105693353</v>
          </cell>
          <cell r="D32" t="str">
            <v>正常</v>
          </cell>
          <cell r="E32" t="str">
            <v>Moose一体线缆</v>
          </cell>
          <cell r="F32" t="str">
            <v>Moose Cable</v>
          </cell>
          <cell r="G32" t="str">
            <v>可用</v>
          </cell>
          <cell r="H32" t="str">
            <v>DE</v>
          </cell>
          <cell r="I32" t="str">
            <v>德国区</v>
          </cell>
          <cell r="J32">
            <v>0</v>
          </cell>
          <cell r="K32">
            <v>0</v>
          </cell>
          <cell r="L32">
            <v>0</v>
          </cell>
          <cell r="M32">
            <v>0</v>
          </cell>
          <cell r="N32">
            <v>0</v>
          </cell>
          <cell r="O32">
            <v>17</v>
          </cell>
          <cell r="P32">
            <v>0</v>
          </cell>
          <cell r="Q32">
            <v>3</v>
          </cell>
        </row>
        <row r="33">
          <cell r="A33" t="str">
            <v>6975925241323</v>
          </cell>
          <cell r="B33" t="str">
            <v>1300100222</v>
          </cell>
          <cell r="C33" t="str">
            <v>G10068-L9214929219</v>
          </cell>
          <cell r="D33" t="str">
            <v>正常</v>
          </cell>
          <cell r="E33" t="str">
            <v>三维扫描仪Seal Lite基础款(4规)</v>
          </cell>
          <cell r="F33" t="str">
            <v>3D Scanner Seal Lite Standard</v>
          </cell>
          <cell r="G33" t="str">
            <v>可用</v>
          </cell>
          <cell r="H33" t="str">
            <v>DE</v>
          </cell>
          <cell r="I33" t="str">
            <v>德国区</v>
          </cell>
          <cell r="J33">
            <v>0</v>
          </cell>
          <cell r="K33">
            <v>32</v>
          </cell>
          <cell r="L33">
            <v>32</v>
          </cell>
          <cell r="M33">
            <v>0</v>
          </cell>
          <cell r="N33">
            <v>0</v>
          </cell>
          <cell r="O33">
            <v>159</v>
          </cell>
          <cell r="P33">
            <v>1</v>
          </cell>
          <cell r="Q33">
            <v>322</v>
          </cell>
        </row>
        <row r="34">
          <cell r="A34" t="str">
            <v>6975925240807</v>
          </cell>
          <cell r="B34" t="str">
            <v>1021900094</v>
          </cell>
          <cell r="C34" t="str">
            <v>G10068-M3993029897</v>
          </cell>
          <cell r="D34" t="str">
            <v>正常</v>
          </cell>
          <cell r="E34" t="str">
            <v>Seal扫描仪一体线缆</v>
          </cell>
          <cell r="F34" t="str">
            <v>Seal Cable</v>
          </cell>
          <cell r="G34" t="str">
            <v>可用</v>
          </cell>
          <cell r="H34" t="str">
            <v>DE</v>
          </cell>
          <cell r="I34" t="str">
            <v>德国区</v>
          </cell>
          <cell r="J34">
            <v>0</v>
          </cell>
          <cell r="K34">
            <v>0</v>
          </cell>
          <cell r="L34">
            <v>0</v>
          </cell>
          <cell r="M34">
            <v>0</v>
          </cell>
          <cell r="N34">
            <v>0</v>
          </cell>
          <cell r="O34">
            <v>0</v>
          </cell>
          <cell r="P34">
            <v>0</v>
          </cell>
          <cell r="Q34">
            <v>20</v>
          </cell>
        </row>
        <row r="35">
          <cell r="A35" t="str">
            <v>6975925241286</v>
          </cell>
          <cell r="B35" t="str">
            <v>1040600057</v>
          </cell>
          <cell r="C35" t="str">
            <v>G10068-X7007389868</v>
          </cell>
          <cell r="D35" t="str">
            <v>正常</v>
          </cell>
          <cell r="E35" t="str">
            <v>PD电源</v>
          </cell>
          <cell r="F35" t="str">
            <v>PD Adapter</v>
          </cell>
          <cell r="G35" t="str">
            <v>可用</v>
          </cell>
          <cell r="H35" t="str">
            <v>DE</v>
          </cell>
          <cell r="I35" t="str">
            <v>德国区</v>
          </cell>
          <cell r="J35">
            <v>0</v>
          </cell>
          <cell r="K35">
            <v>0</v>
          </cell>
          <cell r="L35">
            <v>0</v>
          </cell>
          <cell r="M35">
            <v>0</v>
          </cell>
          <cell r="N35">
            <v>0</v>
          </cell>
          <cell r="O35">
            <v>8</v>
          </cell>
          <cell r="P35">
            <v>0</v>
          </cell>
          <cell r="Q35">
            <v>2</v>
          </cell>
        </row>
        <row r="36">
          <cell r="A36" t="str">
            <v>6975925241200</v>
          </cell>
          <cell r="B36" t="str">
            <v>1300100207</v>
          </cell>
          <cell r="C36" t="str">
            <v>G10068-Q9476508753</v>
          </cell>
          <cell r="D36" t="str">
            <v>正常</v>
          </cell>
          <cell r="E36" t="str">
            <v>车顶吸盘安装套装</v>
          </cell>
          <cell r="F36" t="str">
            <v>Automotive Rooftop Mount</v>
          </cell>
          <cell r="G36" t="str">
            <v>可用</v>
          </cell>
          <cell r="H36" t="str">
            <v>DE</v>
          </cell>
          <cell r="I36" t="str">
            <v>德国区</v>
          </cell>
          <cell r="J36">
            <v>0</v>
          </cell>
          <cell r="K36">
            <v>0</v>
          </cell>
          <cell r="L36">
            <v>0</v>
          </cell>
          <cell r="M36">
            <v>0</v>
          </cell>
          <cell r="N36">
            <v>0</v>
          </cell>
          <cell r="O36">
            <v>9</v>
          </cell>
          <cell r="P36">
            <v>0</v>
          </cell>
          <cell r="Q36">
            <v>10</v>
          </cell>
        </row>
        <row r="37">
          <cell r="A37" t="str">
            <v>6975925241385</v>
          </cell>
          <cell r="B37" t="str">
            <v>1300100230</v>
          </cell>
          <cell r="C37" t="str">
            <v>G10068-K5433980388</v>
          </cell>
          <cell r="D37" t="str">
            <v>正常</v>
          </cell>
          <cell r="E37" t="str">
            <v>三维扫描仪Moose升级款(4规)</v>
          </cell>
          <cell r="F37" t="str">
            <v>3D Scanner Moose Premium</v>
          </cell>
          <cell r="G37" t="str">
            <v>可用</v>
          </cell>
          <cell r="H37" t="str">
            <v>DE</v>
          </cell>
          <cell r="I37" t="str">
            <v>德国区</v>
          </cell>
          <cell r="J37">
            <v>0</v>
          </cell>
          <cell r="K37">
            <v>0</v>
          </cell>
          <cell r="L37">
            <v>0</v>
          </cell>
          <cell r="M37">
            <v>0</v>
          </cell>
          <cell r="N37">
            <v>0</v>
          </cell>
          <cell r="O37">
            <v>96</v>
          </cell>
          <cell r="P37">
            <v>0</v>
          </cell>
          <cell r="Q37">
            <v>142</v>
          </cell>
        </row>
        <row r="38">
          <cell r="A38" t="str">
            <v>6975925241408</v>
          </cell>
          <cell r="B38" t="str">
            <v>1300100232</v>
          </cell>
          <cell r="C38" t="str">
            <v>G10068-A8788678864</v>
          </cell>
          <cell r="D38" t="str">
            <v>正常</v>
          </cell>
          <cell r="E38" t="str">
            <v>三维扫描仪Moose Lite基础款(4规)</v>
          </cell>
          <cell r="F38" t="str">
            <v>3D Scanner Moose Lite Standard</v>
          </cell>
          <cell r="G38" t="str">
            <v>可用</v>
          </cell>
          <cell r="H38" t="str">
            <v>DE</v>
          </cell>
          <cell r="I38" t="str">
            <v>德国区</v>
          </cell>
          <cell r="J38">
            <v>0</v>
          </cell>
          <cell r="K38">
            <v>0</v>
          </cell>
          <cell r="L38">
            <v>0</v>
          </cell>
          <cell r="M38">
            <v>0</v>
          </cell>
          <cell r="N38">
            <v>0</v>
          </cell>
          <cell r="O38">
            <v>67</v>
          </cell>
          <cell r="P38">
            <v>3</v>
          </cell>
          <cell r="Q38">
            <v>306</v>
          </cell>
        </row>
        <row r="39">
          <cell r="A39" t="str">
            <v>6975925241217</v>
          </cell>
          <cell r="B39" t="str">
            <v>1300100208</v>
          </cell>
          <cell r="C39" t="str">
            <v>G10068-E0275058636</v>
          </cell>
          <cell r="D39" t="str">
            <v>正常</v>
          </cell>
          <cell r="E39" t="str">
            <v>背架套装</v>
          </cell>
          <cell r="F39" t="str">
            <v>Backpack Kit</v>
          </cell>
          <cell r="G39" t="str">
            <v>可用</v>
          </cell>
          <cell r="H39" t="str">
            <v>DE</v>
          </cell>
          <cell r="I39" t="str">
            <v>德国区</v>
          </cell>
          <cell r="J39">
            <v>0</v>
          </cell>
          <cell r="K39">
            <v>0</v>
          </cell>
          <cell r="L39">
            <v>0</v>
          </cell>
          <cell r="M39">
            <v>0</v>
          </cell>
          <cell r="N39">
            <v>0</v>
          </cell>
          <cell r="O39">
            <v>0</v>
          </cell>
          <cell r="P39">
            <v>0</v>
          </cell>
          <cell r="Q39">
            <v>14</v>
          </cell>
        </row>
        <row r="40">
          <cell r="A40" t="str">
            <v>6975925241415</v>
          </cell>
          <cell r="B40" t="str">
            <v>1300100233</v>
          </cell>
          <cell r="C40" t="str">
            <v>G10068-V1704434170</v>
          </cell>
          <cell r="D40" t="str">
            <v>正常</v>
          </cell>
          <cell r="E40" t="str">
            <v>三维扫描仪Moose Lite升级款(4规)</v>
          </cell>
          <cell r="F40" t="str">
            <v>3D Scanner Moose Lite Premium</v>
          </cell>
          <cell r="G40" t="str">
            <v>可用</v>
          </cell>
          <cell r="H40" t="str">
            <v>DE</v>
          </cell>
          <cell r="I40" t="str">
            <v>德国区</v>
          </cell>
          <cell r="J40">
            <v>0</v>
          </cell>
          <cell r="K40">
            <v>54</v>
          </cell>
          <cell r="L40">
            <v>54</v>
          </cell>
          <cell r="M40">
            <v>0</v>
          </cell>
          <cell r="N40">
            <v>0</v>
          </cell>
          <cell r="O40">
            <v>0</v>
          </cell>
          <cell r="P40">
            <v>0</v>
          </cell>
          <cell r="Q40">
            <v>189</v>
          </cell>
        </row>
        <row r="41">
          <cell r="A41" t="str">
            <v>6975925241453</v>
          </cell>
          <cell r="B41" t="str">
            <v>1300100240</v>
          </cell>
          <cell r="C41" t="str">
            <v>G10068-L9358621876</v>
          </cell>
          <cell r="D41" t="str">
            <v>正常</v>
          </cell>
          <cell r="E41" t="str">
            <v>三维扫描仪Toucan升级款(4规)</v>
          </cell>
          <cell r="F41" t="str">
            <v>3D Scanner Toucan Premium</v>
          </cell>
          <cell r="G41" t="str">
            <v>可用</v>
          </cell>
          <cell r="H41" t="str">
            <v>DE</v>
          </cell>
          <cell r="I41" t="str">
            <v>德国区</v>
          </cell>
          <cell r="J41">
            <v>0</v>
          </cell>
          <cell r="K41">
            <v>0</v>
          </cell>
          <cell r="L41">
            <v>0</v>
          </cell>
          <cell r="M41">
            <v>0</v>
          </cell>
          <cell r="N41">
            <v>0</v>
          </cell>
          <cell r="O41">
            <v>42</v>
          </cell>
          <cell r="P41">
            <v>0</v>
          </cell>
          <cell r="Q41">
            <v>154</v>
          </cell>
        </row>
        <row r="42">
          <cell r="A42" t="str">
            <v>6975925241514</v>
          </cell>
          <cell r="B42" t="str">
            <v>1300100246</v>
          </cell>
          <cell r="C42" t="str">
            <v>G10068-P5268459472</v>
          </cell>
          <cell r="D42" t="str">
            <v>正常</v>
          </cell>
          <cell r="E42" t="str">
            <v>三维扫描仪Toucan基础款(4规)</v>
          </cell>
          <cell r="F42" t="str">
            <v>3D Scanner Toucan Standard</v>
          </cell>
          <cell r="G42" t="str">
            <v>可用</v>
          </cell>
          <cell r="H42" t="str">
            <v>DE</v>
          </cell>
          <cell r="I42" t="str">
            <v>德国区</v>
          </cell>
          <cell r="J42">
            <v>0</v>
          </cell>
          <cell r="K42">
            <v>0</v>
          </cell>
          <cell r="L42">
            <v>0</v>
          </cell>
          <cell r="M42">
            <v>0</v>
          </cell>
          <cell r="N42">
            <v>0</v>
          </cell>
          <cell r="O42">
            <v>125</v>
          </cell>
          <cell r="P42">
            <v>0</v>
          </cell>
          <cell r="Q42">
            <v>164</v>
          </cell>
        </row>
        <row r="43">
          <cell r="A43" t="str">
            <v>6975925241422</v>
          </cell>
          <cell r="B43" t="str">
            <v>1300100234</v>
          </cell>
          <cell r="C43" t="str">
            <v>G10068-N8843774280</v>
          </cell>
          <cell r="D43" t="str">
            <v>正常</v>
          </cell>
          <cell r="E43" t="str">
            <v>三维扫描仪Moose Lite豪华款(4规)</v>
          </cell>
          <cell r="F43" t="str">
            <v>3D Scanner Moose Lite Luxury</v>
          </cell>
          <cell r="G43" t="str">
            <v>可用</v>
          </cell>
          <cell r="H43" t="str">
            <v>DE</v>
          </cell>
          <cell r="I43" t="str">
            <v>德国区</v>
          </cell>
          <cell r="J43">
            <v>0</v>
          </cell>
          <cell r="K43">
            <v>0</v>
          </cell>
          <cell r="L43">
            <v>0</v>
          </cell>
          <cell r="M43">
            <v>0</v>
          </cell>
          <cell r="N43">
            <v>0</v>
          </cell>
          <cell r="O43">
            <v>22</v>
          </cell>
          <cell r="P43">
            <v>0</v>
          </cell>
          <cell r="Q43">
            <v>22</v>
          </cell>
        </row>
        <row r="44">
          <cell r="A44" t="str">
            <v>6975925241446</v>
          </cell>
          <cell r="B44" t="str">
            <v>1300100241</v>
          </cell>
          <cell r="C44" t="str">
            <v>G10068-Z3268802708</v>
          </cell>
          <cell r="D44" t="str">
            <v>正常</v>
          </cell>
          <cell r="E44" t="str">
            <v>三维扫描仪Hawk(4规)</v>
          </cell>
          <cell r="F44" t="str">
            <v>3D Scanner Hawk</v>
          </cell>
          <cell r="G44" t="str">
            <v>可用</v>
          </cell>
          <cell r="H44" t="str">
            <v>DE</v>
          </cell>
          <cell r="I44" t="str">
            <v>德国区</v>
          </cell>
          <cell r="J44">
            <v>0</v>
          </cell>
          <cell r="K44">
            <v>0</v>
          </cell>
          <cell r="L44">
            <v>0</v>
          </cell>
          <cell r="M44">
            <v>0</v>
          </cell>
          <cell r="N44">
            <v>0</v>
          </cell>
          <cell r="O44">
            <v>0</v>
          </cell>
          <cell r="P44">
            <v>0</v>
          </cell>
          <cell r="Q44">
            <v>20</v>
          </cell>
        </row>
        <row r="45">
          <cell r="A45" t="str">
            <v>6975925241354</v>
          </cell>
          <cell r="B45" t="str">
            <v>1300100226</v>
          </cell>
          <cell r="C45" t="str">
            <v>G10068-S3691817827</v>
          </cell>
          <cell r="D45" t="str">
            <v>正常</v>
          </cell>
          <cell r="E45" t="str">
            <v>Seal双轴转台(4规)</v>
          </cell>
          <cell r="F45" t="str">
            <v>Multi-Axis Turntable for Seal</v>
          </cell>
          <cell r="G45" t="str">
            <v>可用</v>
          </cell>
          <cell r="H45" t="str">
            <v>DE</v>
          </cell>
          <cell r="I45" t="str">
            <v>德国区</v>
          </cell>
          <cell r="J45">
            <v>0</v>
          </cell>
          <cell r="K45">
            <v>0</v>
          </cell>
          <cell r="L45">
            <v>0</v>
          </cell>
          <cell r="M45">
            <v>0</v>
          </cell>
          <cell r="N45">
            <v>0</v>
          </cell>
          <cell r="O45">
            <v>27</v>
          </cell>
          <cell r="P45">
            <v>0</v>
          </cell>
          <cell r="Q45">
            <v>23</v>
          </cell>
        </row>
        <row r="46">
          <cell r="A46" t="str">
            <v>6975925241293</v>
          </cell>
          <cell r="B46" t="str">
            <v>1300100219</v>
          </cell>
          <cell r="C46" t="str">
            <v>G10068-K7513965071</v>
          </cell>
          <cell r="D46" t="str">
            <v>正常</v>
          </cell>
          <cell r="E46" t="str">
            <v>三维扫描仪Seal基础款(4规)</v>
          </cell>
          <cell r="F46" t="str">
            <v>3D Scanner Seal Standard</v>
          </cell>
          <cell r="G46" t="str">
            <v>可用</v>
          </cell>
          <cell r="H46" t="str">
            <v>DE</v>
          </cell>
          <cell r="I46" t="str">
            <v>德国区</v>
          </cell>
          <cell r="J46">
            <v>0</v>
          </cell>
          <cell r="K46">
            <v>32</v>
          </cell>
          <cell r="L46">
            <v>32</v>
          </cell>
          <cell r="M46">
            <v>0</v>
          </cell>
          <cell r="N46">
            <v>0</v>
          </cell>
          <cell r="O46">
            <v>158</v>
          </cell>
          <cell r="P46">
            <v>1</v>
          </cell>
          <cell r="Q46">
            <v>49</v>
          </cell>
        </row>
        <row r="47">
          <cell r="A47" t="str">
            <v>6975925241521</v>
          </cell>
          <cell r="B47" t="str">
            <v>1300100250</v>
          </cell>
          <cell r="C47" t="str">
            <v>G10068-U7811066551</v>
          </cell>
          <cell r="D47" t="str">
            <v>正常</v>
          </cell>
          <cell r="E47" t="str">
            <v>Toucan箱包套装</v>
          </cell>
          <cell r="F47" t="str">
            <v>Carrying Case for Toucan</v>
          </cell>
          <cell r="G47" t="str">
            <v>可用</v>
          </cell>
          <cell r="H47" t="str">
            <v>DE</v>
          </cell>
          <cell r="I47" t="str">
            <v>德国区</v>
          </cell>
          <cell r="J47">
            <v>0</v>
          </cell>
          <cell r="K47">
            <v>0</v>
          </cell>
          <cell r="L47">
            <v>0</v>
          </cell>
          <cell r="M47">
            <v>0</v>
          </cell>
          <cell r="N47">
            <v>0</v>
          </cell>
          <cell r="O47">
            <v>56</v>
          </cell>
          <cell r="P47">
            <v>0</v>
          </cell>
          <cell r="Q47">
            <v>45</v>
          </cell>
        </row>
        <row r="48">
          <cell r="A48" t="str">
            <v>6975925241538</v>
          </cell>
          <cell r="B48" t="str">
            <v>1300100249</v>
          </cell>
          <cell r="C48" t="str">
            <v>G10068-J6481115949</v>
          </cell>
          <cell r="D48" t="str">
            <v>正常</v>
          </cell>
          <cell r="E48" t="str">
            <v>Toucan三脚架套装</v>
          </cell>
          <cell r="F48" t="str">
            <v>Tripod for Toucan</v>
          </cell>
          <cell r="G48" t="str">
            <v>可用</v>
          </cell>
          <cell r="H48" t="str">
            <v>DE</v>
          </cell>
          <cell r="I48" t="str">
            <v>德国区</v>
          </cell>
          <cell r="J48">
            <v>0</v>
          </cell>
          <cell r="K48">
            <v>0</v>
          </cell>
          <cell r="L48">
            <v>0</v>
          </cell>
          <cell r="M48">
            <v>0</v>
          </cell>
          <cell r="N48">
            <v>0</v>
          </cell>
          <cell r="O48">
            <v>36</v>
          </cell>
          <cell r="P48">
            <v>0</v>
          </cell>
          <cell r="Q48">
            <v>14</v>
          </cell>
        </row>
        <row r="49">
          <cell r="A49" t="str">
            <v>6975925241392</v>
          </cell>
          <cell r="B49" t="str">
            <v>1300100231</v>
          </cell>
          <cell r="C49" t="str">
            <v>G10068-B6142572023</v>
          </cell>
          <cell r="D49" t="str">
            <v>正常</v>
          </cell>
          <cell r="E49" t="str">
            <v>三维扫描仪Moose豪华款(4规)</v>
          </cell>
          <cell r="F49" t="str">
            <v>3D Scanner Moose Luxury</v>
          </cell>
          <cell r="G49" t="str">
            <v>可用</v>
          </cell>
          <cell r="H49" t="str">
            <v>DE</v>
          </cell>
          <cell r="I49" t="str">
            <v>德国区</v>
          </cell>
          <cell r="J49">
            <v>0</v>
          </cell>
          <cell r="K49">
            <v>0</v>
          </cell>
          <cell r="L49">
            <v>0</v>
          </cell>
          <cell r="M49">
            <v>0</v>
          </cell>
          <cell r="N49">
            <v>0</v>
          </cell>
          <cell r="O49">
            <v>33</v>
          </cell>
          <cell r="P49">
            <v>1</v>
          </cell>
          <cell r="Q49">
            <v>26</v>
          </cell>
        </row>
        <row r="50">
          <cell r="A50" t="str">
            <v>6975925241545</v>
          </cell>
          <cell r="B50" t="str">
            <v>1300100248</v>
          </cell>
          <cell r="C50" t="str">
            <v>G10068-U5913207544</v>
          </cell>
          <cell r="D50" t="str">
            <v>正常</v>
          </cell>
          <cell r="E50" t="str">
            <v>MTT2转台</v>
          </cell>
          <cell r="F50" t="str">
            <v>Automatic Turntable</v>
          </cell>
          <cell r="G50" t="str">
            <v>可用</v>
          </cell>
          <cell r="H50" t="str">
            <v>DE</v>
          </cell>
          <cell r="I50" t="str">
            <v>德国区</v>
          </cell>
          <cell r="J50">
            <v>0</v>
          </cell>
          <cell r="K50">
            <v>0</v>
          </cell>
          <cell r="L50">
            <v>0</v>
          </cell>
          <cell r="M50">
            <v>0</v>
          </cell>
          <cell r="N50">
            <v>0</v>
          </cell>
          <cell r="O50">
            <v>42</v>
          </cell>
          <cell r="P50">
            <v>0</v>
          </cell>
          <cell r="Q50">
            <v>39</v>
          </cell>
        </row>
        <row r="51">
          <cell r="A51" t="str">
            <v>6975925240463</v>
          </cell>
          <cell r="B51" t="str">
            <v>1300100106</v>
          </cell>
          <cell r="C51" t="str">
            <v>G10068-Q6515818653</v>
          </cell>
          <cell r="D51" t="str">
            <v>正常</v>
          </cell>
          <cell r="E51" t="str">
            <v>三维扫描仪Lynx升级款(英文4规版)</v>
          </cell>
          <cell r="F51" t="str">
            <v>3D Scanner Lynx Premium(EN)</v>
          </cell>
          <cell r="G51" t="str">
            <v>可用</v>
          </cell>
          <cell r="H51" t="str">
            <v>DE</v>
          </cell>
          <cell r="I51" t="str">
            <v>德国区</v>
          </cell>
          <cell r="J51">
            <v>0</v>
          </cell>
          <cell r="K51">
            <v>0</v>
          </cell>
          <cell r="L51">
            <v>0</v>
          </cell>
          <cell r="M51">
            <v>0</v>
          </cell>
          <cell r="N51">
            <v>0</v>
          </cell>
          <cell r="O51">
            <v>17</v>
          </cell>
          <cell r="P51">
            <v>0</v>
          </cell>
          <cell r="Q51">
            <v>3</v>
          </cell>
        </row>
        <row r="52">
          <cell r="A52" t="str">
            <v>6975925241378</v>
          </cell>
          <cell r="B52" t="str">
            <v>1300100229</v>
          </cell>
          <cell r="C52" t="str">
            <v>G10068-S6729510507</v>
          </cell>
          <cell r="D52" t="str">
            <v>正常</v>
          </cell>
          <cell r="E52" t="str">
            <v>三维扫描仪Moose基础款(4规)</v>
          </cell>
          <cell r="F52" t="str">
            <v>3D Scanner Moose Standard</v>
          </cell>
          <cell r="G52" t="str">
            <v>可用</v>
          </cell>
          <cell r="H52" t="str">
            <v>DE</v>
          </cell>
          <cell r="I52" t="str">
            <v>德国区</v>
          </cell>
          <cell r="J52">
            <v>0</v>
          </cell>
          <cell r="K52">
            <v>0</v>
          </cell>
          <cell r="L52">
            <v>0</v>
          </cell>
          <cell r="M52">
            <v>0</v>
          </cell>
          <cell r="N52">
            <v>0</v>
          </cell>
          <cell r="O52">
            <v>30</v>
          </cell>
          <cell r="P52">
            <v>0</v>
          </cell>
          <cell r="Q52">
            <v>10</v>
          </cell>
        </row>
        <row r="53">
          <cell r="A53" t="str">
            <v>6975925241583</v>
          </cell>
          <cell r="B53" t="str">
            <v>1300100263</v>
          </cell>
          <cell r="C53" t="str">
            <v>G10068-E1982218248</v>
          </cell>
          <cell r="D53" t="str">
            <v>正常</v>
          </cell>
          <cell r="E53" t="str">
            <v>三维扫描仪Raven(4规)</v>
          </cell>
          <cell r="F53" t="str">
            <v>3D Scanner Raven</v>
          </cell>
          <cell r="G53" t="str">
            <v>可用</v>
          </cell>
          <cell r="H53" t="str">
            <v>DE</v>
          </cell>
          <cell r="I53" t="str">
            <v>德国区</v>
          </cell>
          <cell r="J53">
            <v>0</v>
          </cell>
          <cell r="K53">
            <v>0</v>
          </cell>
          <cell r="L53">
            <v>0</v>
          </cell>
          <cell r="M53">
            <v>0</v>
          </cell>
          <cell r="N53">
            <v>0</v>
          </cell>
          <cell r="O53">
            <v>163</v>
          </cell>
          <cell r="P53">
            <v>0</v>
          </cell>
          <cell r="Q53">
            <v>268</v>
          </cell>
        </row>
        <row r="54">
          <cell r="A54" t="str">
            <v>6975925241576</v>
          </cell>
          <cell r="B54" t="str">
            <v>1300100262</v>
          </cell>
          <cell r="C54" t="str">
            <v>G10068-Q0558973006</v>
          </cell>
          <cell r="D54" t="str">
            <v>正常</v>
          </cell>
          <cell r="E54" t="str">
            <v>三维扫描仪Raven Max升级款(4规）</v>
          </cell>
          <cell r="F54" t="str">
            <v>3D Scanner Raven Max Premium</v>
          </cell>
          <cell r="G54" t="str">
            <v>可用</v>
          </cell>
          <cell r="H54" t="str">
            <v>DE</v>
          </cell>
          <cell r="I54" t="str">
            <v>德国区</v>
          </cell>
          <cell r="J54">
            <v>0</v>
          </cell>
          <cell r="K54">
            <v>0</v>
          </cell>
          <cell r="L54">
            <v>0</v>
          </cell>
          <cell r="M54">
            <v>0</v>
          </cell>
          <cell r="N54">
            <v>0</v>
          </cell>
          <cell r="O54">
            <v>43</v>
          </cell>
          <cell r="P54">
            <v>0</v>
          </cell>
          <cell r="Q54">
            <v>203</v>
          </cell>
        </row>
        <row r="55">
          <cell r="A55" t="str">
            <v>6975925241613</v>
          </cell>
          <cell r="B55" t="str">
            <v>1300100260</v>
          </cell>
          <cell r="C55" t="str">
            <v>G10068-C1781003046</v>
          </cell>
          <cell r="D55" t="str">
            <v>正常</v>
          </cell>
          <cell r="E55" t="str">
            <v>三维扫描仪FOX(4规)</v>
          </cell>
          <cell r="F55" t="str">
            <v>3D Scanner FOX(EN)</v>
          </cell>
          <cell r="G55" t="str">
            <v>可用</v>
          </cell>
          <cell r="H55" t="str">
            <v>DE</v>
          </cell>
          <cell r="I55" t="str">
            <v>德国区</v>
          </cell>
          <cell r="J55">
            <v>0</v>
          </cell>
          <cell r="K55">
            <v>200</v>
          </cell>
          <cell r="L55">
            <v>200</v>
          </cell>
          <cell r="M55">
            <v>0</v>
          </cell>
          <cell r="N55">
            <v>0</v>
          </cell>
          <cell r="O55">
            <v>1</v>
          </cell>
          <cell r="P55">
            <v>0</v>
          </cell>
          <cell r="Q55">
            <v>369</v>
          </cell>
        </row>
        <row r="56">
          <cell r="A56" t="str">
            <v>6975925241569</v>
          </cell>
          <cell r="B56" t="str">
            <v>1300100256</v>
          </cell>
          <cell r="C56" t="str">
            <v>G10068-H0235245115</v>
          </cell>
          <cell r="D56" t="str">
            <v>正常</v>
          </cell>
          <cell r="E56" t="str">
            <v>三维扫描仪Raven Max基础款(4规)</v>
          </cell>
          <cell r="F56" t="str">
            <v>3D Scanner Raven Max Standard</v>
          </cell>
          <cell r="G56" t="str">
            <v>可用</v>
          </cell>
          <cell r="H56" t="str">
            <v>DE</v>
          </cell>
          <cell r="I56" t="str">
            <v>德国区</v>
          </cell>
          <cell r="J56">
            <v>0</v>
          </cell>
          <cell r="K56">
            <v>0</v>
          </cell>
          <cell r="L56">
            <v>0</v>
          </cell>
          <cell r="M56">
            <v>0</v>
          </cell>
          <cell r="N56">
            <v>0</v>
          </cell>
          <cell r="O56">
            <v>70</v>
          </cell>
          <cell r="P56">
            <v>0</v>
          </cell>
          <cell r="Q56">
            <v>91</v>
          </cell>
        </row>
        <row r="57">
          <cell r="A57" t="str">
            <v>6975925241637</v>
          </cell>
          <cell r="B57" t="str">
            <v>1300100245</v>
          </cell>
          <cell r="C57" t="str">
            <v>G10068-V0441971502</v>
          </cell>
          <cell r="D57" t="str">
            <v>正常</v>
          </cell>
          <cell r="E57" t="str">
            <v>360相机套装</v>
          </cell>
          <cell r="F57" t="str">
            <v>360 Camera Kit</v>
          </cell>
          <cell r="G57" t="str">
            <v>可用</v>
          </cell>
          <cell r="H57" t="str">
            <v>DE</v>
          </cell>
          <cell r="I57" t="str">
            <v>德国区</v>
          </cell>
          <cell r="J57">
            <v>0</v>
          </cell>
          <cell r="K57">
            <v>0</v>
          </cell>
          <cell r="L57">
            <v>0</v>
          </cell>
          <cell r="M57">
            <v>0</v>
          </cell>
          <cell r="N57">
            <v>0</v>
          </cell>
          <cell r="O57">
            <v>0</v>
          </cell>
          <cell r="P57">
            <v>0</v>
          </cell>
          <cell r="Q57">
            <v>76</v>
          </cell>
        </row>
      </sheetData>
      <sheetData sheetId="15">
        <row r="1">
          <cell r="A1" t="str">
            <v>商品编码</v>
          </cell>
          <cell r="B1" t="str">
            <v>谷仓商品条码</v>
          </cell>
          <cell r="C1" t="str">
            <v>中文名称</v>
          </cell>
          <cell r="D1" t="str">
            <v>英文名称</v>
          </cell>
          <cell r="E1" t="str">
            <v>仓库（区域）</v>
          </cell>
          <cell r="F1" t="str">
            <v>上架时间</v>
          </cell>
          <cell r="G1" t="str">
            <v>过期日期</v>
          </cell>
          <cell r="H1" t="str">
            <v>在库库存</v>
          </cell>
          <cell r="I1" t="str">
            <v>库龄（天）</v>
          </cell>
        </row>
        <row r="2">
          <cell r="A2" t="str">
            <v>6975925241033</v>
          </cell>
          <cell r="B2" t="str">
            <v>G10068-6975925241033</v>
          </cell>
          <cell r="C2" t="str">
            <v>智能手柄数据线</v>
          </cell>
          <cell r="D2" t="str">
            <v>Cable for 3D Scanner Smart Grip</v>
          </cell>
          <cell r="E2" t="str">
            <v>DE[德国区]</v>
          </cell>
          <cell r="F2" t="str">
            <v>2024-07-18</v>
          </cell>
          <cell r="G2" t="str">
            <v/>
          </cell>
          <cell r="H2">
            <v>77</v>
          </cell>
          <cell r="I2">
            <v>696</v>
          </cell>
        </row>
        <row r="3">
          <cell r="A3" t="str">
            <v>6975925240753</v>
          </cell>
          <cell r="B3" t="str">
            <v>G10068-6975925240753</v>
          </cell>
          <cell r="C3" t="str">
            <v>Seal三脚架</v>
          </cell>
          <cell r="D3" t="str">
            <v>Tripod for Seal</v>
          </cell>
          <cell r="E3" t="str">
            <v>DE[德国区]</v>
          </cell>
          <cell r="F3" t="str">
            <v>2025-01-03</v>
          </cell>
          <cell r="G3" t="str">
            <v/>
          </cell>
          <cell r="H3">
            <v>20</v>
          </cell>
          <cell r="I3">
            <v>527</v>
          </cell>
        </row>
        <row r="4">
          <cell r="A4" t="str">
            <v>6975925241033</v>
          </cell>
          <cell r="B4" t="str">
            <v>G10068-6975925241033</v>
          </cell>
          <cell r="C4" t="str">
            <v>智能手柄数据线</v>
          </cell>
          <cell r="D4" t="str">
            <v>Cable for 3D Scanner Smart Grip</v>
          </cell>
          <cell r="E4" t="str">
            <v>DE[德国区]</v>
          </cell>
          <cell r="F4" t="str">
            <v>2025-02-01</v>
          </cell>
          <cell r="G4" t="str">
            <v/>
          </cell>
          <cell r="H4">
            <v>1</v>
          </cell>
          <cell r="I4">
            <v>498</v>
          </cell>
        </row>
        <row r="5">
          <cell r="A5" t="str">
            <v>6975925240753</v>
          </cell>
          <cell r="B5" t="str">
            <v>G10068-6975925240753</v>
          </cell>
          <cell r="C5" t="str">
            <v>Seal三脚架</v>
          </cell>
          <cell r="D5" t="str">
            <v>Tripod for Seal</v>
          </cell>
          <cell r="E5" t="str">
            <v>DE[德国区]</v>
          </cell>
          <cell r="F5" t="str">
            <v>2025-03-14</v>
          </cell>
          <cell r="G5" t="str">
            <v/>
          </cell>
          <cell r="H5">
            <v>100</v>
          </cell>
          <cell r="I5">
            <v>457</v>
          </cell>
        </row>
        <row r="6">
          <cell r="A6" t="str">
            <v>6975925240531</v>
          </cell>
          <cell r="B6" t="str">
            <v>G10068-6975925240531</v>
          </cell>
          <cell r="C6" t="str">
            <v>三维扫描仪Lynx豪华款(欧规)</v>
          </cell>
          <cell r="D6" t="str">
            <v>3D Scanner Lynx Luxury(EU)</v>
          </cell>
          <cell r="E6" t="str">
            <v>DE[德国区]</v>
          </cell>
          <cell r="F6" t="str">
            <v>2025-04-08</v>
          </cell>
          <cell r="G6" t="str">
            <v/>
          </cell>
          <cell r="H6">
            <v>27</v>
          </cell>
          <cell r="I6">
            <v>432</v>
          </cell>
        </row>
        <row r="7">
          <cell r="A7" t="str">
            <v>6975925240517</v>
          </cell>
          <cell r="B7" t="str">
            <v>G10068-6975925240517</v>
          </cell>
          <cell r="C7" t="str">
            <v>三维扫描仪Lynx基础款(欧规)</v>
          </cell>
          <cell r="D7" t="str">
            <v>3D Scanner Lynx Standard(EU)</v>
          </cell>
          <cell r="E7" t="str">
            <v>DE[德国区]</v>
          </cell>
          <cell r="F7" t="str">
            <v>2025-04-08</v>
          </cell>
          <cell r="G7" t="str">
            <v/>
          </cell>
          <cell r="H7">
            <v>12</v>
          </cell>
          <cell r="I7">
            <v>432</v>
          </cell>
        </row>
        <row r="8">
          <cell r="A8" t="str">
            <v>6975925241170</v>
          </cell>
          <cell r="B8" t="str">
            <v>G10068-F7437902748</v>
          </cell>
          <cell r="C8" t="str">
            <v>三维扫描仪Eagle JMK1</v>
          </cell>
          <cell r="D8" t="str">
            <v>3D Scanner Eagle JMK1</v>
          </cell>
          <cell r="E8" t="str">
            <v>DE[德国区]</v>
          </cell>
          <cell r="F8" t="str">
            <v>2025-06-10</v>
          </cell>
          <cell r="G8" t="str">
            <v/>
          </cell>
          <cell r="H8">
            <v>1</v>
          </cell>
          <cell r="I8">
            <v>369</v>
          </cell>
        </row>
        <row r="9">
          <cell r="A9" t="str">
            <v>6975925241286</v>
          </cell>
          <cell r="B9" t="str">
            <v>G10068-X7007389868</v>
          </cell>
          <cell r="C9" t="str">
            <v>PD电源</v>
          </cell>
          <cell r="D9" t="str">
            <v>PD Adapter</v>
          </cell>
          <cell r="E9" t="str">
            <v>DE[德国区]</v>
          </cell>
          <cell r="F9" t="str">
            <v>2025-06-26</v>
          </cell>
          <cell r="G9" t="str">
            <v/>
          </cell>
          <cell r="H9">
            <v>7</v>
          </cell>
          <cell r="I9">
            <v>353</v>
          </cell>
        </row>
        <row r="10">
          <cell r="A10" t="str">
            <v>6975925241279</v>
          </cell>
          <cell r="B10" t="str">
            <v>G10068-H1105693353</v>
          </cell>
          <cell r="C10" t="str">
            <v>Moose一体线缆</v>
          </cell>
          <cell r="D10" t="str">
            <v>Moose Cable</v>
          </cell>
          <cell r="E10" t="str">
            <v>DE[德国区]</v>
          </cell>
          <cell r="F10" t="str">
            <v>2025-06-26</v>
          </cell>
          <cell r="G10" t="str">
            <v/>
          </cell>
          <cell r="H10">
            <v>17</v>
          </cell>
          <cell r="I10">
            <v>353</v>
          </cell>
        </row>
        <row r="11">
          <cell r="A11" t="str">
            <v>6975925241170</v>
          </cell>
          <cell r="B11" t="str">
            <v>G10068-F7437902748</v>
          </cell>
          <cell r="C11" t="str">
            <v>三维扫描仪Eagle JMK1</v>
          </cell>
          <cell r="D11" t="str">
            <v>3D Scanner Eagle JMK1</v>
          </cell>
          <cell r="E11" t="str">
            <v>DE[德国区]</v>
          </cell>
          <cell r="F11" t="str">
            <v>2025-06-26</v>
          </cell>
          <cell r="G11" t="str">
            <v/>
          </cell>
          <cell r="H11">
            <v>3</v>
          </cell>
          <cell r="I11">
            <v>353</v>
          </cell>
        </row>
        <row r="12">
          <cell r="A12" t="str">
            <v>6975925241194</v>
          </cell>
          <cell r="B12" t="str">
            <v>G10068-P3917814400</v>
          </cell>
          <cell r="C12" t="str">
            <v>三脚架</v>
          </cell>
          <cell r="D12" t="str">
            <v>Manual Tripod</v>
          </cell>
          <cell r="E12" t="str">
            <v>DE[德国区]</v>
          </cell>
          <cell r="F12" t="str">
            <v>2025-08-23</v>
          </cell>
          <cell r="G12" t="str">
            <v/>
          </cell>
          <cell r="H12">
            <v>5</v>
          </cell>
          <cell r="I12">
            <v>295</v>
          </cell>
        </row>
        <row r="13">
          <cell r="A13" t="str">
            <v>6975925240517</v>
          </cell>
          <cell r="B13" t="str">
            <v>G10068-6975925240517</v>
          </cell>
          <cell r="C13" t="str">
            <v>三维扫描仪Lynx基础款(欧规)</v>
          </cell>
          <cell r="D13" t="str">
            <v>3D Scanner Lynx Standard(EU)</v>
          </cell>
          <cell r="E13" t="str">
            <v>DE[德国区]</v>
          </cell>
          <cell r="F13" t="str">
            <v>2025-10-04</v>
          </cell>
          <cell r="G13" t="str">
            <v/>
          </cell>
          <cell r="H13">
            <v>1</v>
          </cell>
          <cell r="I13">
            <v>253</v>
          </cell>
        </row>
        <row r="14">
          <cell r="A14" t="str">
            <v>6975925241033</v>
          </cell>
          <cell r="B14" t="str">
            <v>G10068-6975925241033</v>
          </cell>
          <cell r="C14" t="str">
            <v>智能手柄数据线</v>
          </cell>
          <cell r="D14" t="str">
            <v>Cable for 3D Scanner Smart Grip</v>
          </cell>
          <cell r="E14" t="str">
            <v>DE[德国区]</v>
          </cell>
          <cell r="F14" t="str">
            <v>2025-11-07</v>
          </cell>
          <cell r="G14" t="str">
            <v/>
          </cell>
          <cell r="H14">
            <v>1</v>
          </cell>
          <cell r="I14">
            <v>219</v>
          </cell>
        </row>
        <row r="15">
          <cell r="A15" t="str">
            <v>6975925241514</v>
          </cell>
          <cell r="B15" t="str">
            <v>G10068-P5268459472</v>
          </cell>
          <cell r="C15" t="str">
            <v>三维扫描仪Toucan基础款(4规)</v>
          </cell>
          <cell r="D15" t="str">
            <v>3D Scanner Toucan Standard</v>
          </cell>
          <cell r="E15" t="str">
            <v>DE[德国区]</v>
          </cell>
          <cell r="F15" t="str">
            <v>2025-12-05</v>
          </cell>
          <cell r="G15" t="str">
            <v/>
          </cell>
          <cell r="H15">
            <v>39</v>
          </cell>
          <cell r="I15">
            <v>191</v>
          </cell>
        </row>
        <row r="16">
          <cell r="A16" t="str">
            <v>6975925241453</v>
          </cell>
          <cell r="B16" t="str">
            <v>G10068-L9358621876</v>
          </cell>
          <cell r="C16" t="str">
            <v>三维扫描仪Toucan升级款(4规)</v>
          </cell>
          <cell r="D16" t="str">
            <v>3D Scanner Toucan Premium</v>
          </cell>
          <cell r="E16" t="str">
            <v>DE[德国区]</v>
          </cell>
          <cell r="F16" t="str">
            <v>2025-12-10</v>
          </cell>
          <cell r="G16" t="str">
            <v/>
          </cell>
          <cell r="H16">
            <v>40</v>
          </cell>
          <cell r="I16">
            <v>186</v>
          </cell>
        </row>
        <row r="17">
          <cell r="A17" t="str">
            <v>6975925241514</v>
          </cell>
          <cell r="B17" t="str">
            <v>G10068-P5268459472</v>
          </cell>
          <cell r="C17" t="str">
            <v>三维扫描仪Toucan基础款(4规)</v>
          </cell>
          <cell r="D17" t="str">
            <v>3D Scanner Toucan Standard</v>
          </cell>
          <cell r="E17" t="str">
            <v>DE[德国区]</v>
          </cell>
          <cell r="F17" t="str">
            <v>2025-12-17</v>
          </cell>
          <cell r="G17" t="str">
            <v/>
          </cell>
          <cell r="H17">
            <v>27</v>
          </cell>
          <cell r="I17">
            <v>179</v>
          </cell>
        </row>
        <row r="18">
          <cell r="A18" t="str">
            <v>6975925241453</v>
          </cell>
          <cell r="B18" t="str">
            <v>G10068-L9358621876</v>
          </cell>
          <cell r="C18" t="str">
            <v>三维扫描仪Toucan升级款(4规)</v>
          </cell>
          <cell r="D18" t="str">
            <v>3D Scanner Toucan Premium</v>
          </cell>
          <cell r="E18" t="str">
            <v>DE[德国区]</v>
          </cell>
          <cell r="F18" t="str">
            <v>2025-12-27</v>
          </cell>
          <cell r="G18" t="str">
            <v/>
          </cell>
          <cell r="H18">
            <v>1</v>
          </cell>
          <cell r="I18">
            <v>169</v>
          </cell>
        </row>
        <row r="19">
          <cell r="A19" t="str">
            <v>6975925241422</v>
          </cell>
          <cell r="B19" t="str">
            <v>G10068-N8843774280</v>
          </cell>
          <cell r="C19" t="str">
            <v>三维扫描仪Moose Lite豪华款(4规)</v>
          </cell>
          <cell r="D19" t="str">
            <v>3D Scanner Moose Lite Luxury</v>
          </cell>
          <cell r="E19" t="str">
            <v>DE[德国区]</v>
          </cell>
          <cell r="F19" t="str">
            <v>2026-01-02</v>
          </cell>
          <cell r="G19" t="str">
            <v/>
          </cell>
          <cell r="H19">
            <v>1</v>
          </cell>
          <cell r="I19">
            <v>163</v>
          </cell>
        </row>
        <row r="20">
          <cell r="A20" t="str">
            <v>6975925241514</v>
          </cell>
          <cell r="B20" t="str">
            <v>G10068-P5268459472</v>
          </cell>
          <cell r="C20" t="str">
            <v>三维扫描仪Toucan基础款(4规)</v>
          </cell>
          <cell r="D20" t="str">
            <v>3D Scanner Toucan Standard</v>
          </cell>
          <cell r="E20" t="str">
            <v>DE[德国区]</v>
          </cell>
          <cell r="F20" t="str">
            <v>2026-01-02</v>
          </cell>
          <cell r="G20" t="str">
            <v/>
          </cell>
          <cell r="H20">
            <v>36</v>
          </cell>
          <cell r="I20">
            <v>163</v>
          </cell>
        </row>
        <row r="21">
          <cell r="A21" t="str">
            <v>6975925241514</v>
          </cell>
          <cell r="B21" t="str">
            <v>G10068-P5268459472</v>
          </cell>
          <cell r="C21" t="str">
            <v>三维扫描仪Toucan基础款(4规)</v>
          </cell>
          <cell r="D21" t="str">
            <v>3D Scanner Toucan Standard</v>
          </cell>
          <cell r="E21" t="str">
            <v>DE[德国区]</v>
          </cell>
          <cell r="F21" t="str">
            <v>2026-01-03</v>
          </cell>
          <cell r="G21" t="str">
            <v/>
          </cell>
          <cell r="H21">
            <v>1</v>
          </cell>
          <cell r="I21">
            <v>162</v>
          </cell>
        </row>
        <row r="22">
          <cell r="A22" t="str">
            <v>6975925241231</v>
          </cell>
          <cell r="B22" t="str">
            <v>G10068-A4935954961</v>
          </cell>
          <cell r="C22" t="str">
            <v>三维扫描仪Eagle JMK1 RTK</v>
          </cell>
          <cell r="D22" t="str">
            <v>3D Scanner Eagle JMK1 RTK</v>
          </cell>
          <cell r="E22" t="str">
            <v>DE[德国区]</v>
          </cell>
          <cell r="F22" t="str">
            <v>2026-01-06</v>
          </cell>
          <cell r="G22" t="str">
            <v/>
          </cell>
          <cell r="H22">
            <v>1</v>
          </cell>
          <cell r="I22">
            <v>159</v>
          </cell>
        </row>
        <row r="23">
          <cell r="A23" t="str">
            <v>6975925241538</v>
          </cell>
          <cell r="B23" t="str">
            <v>G10068-J6481115949</v>
          </cell>
          <cell r="C23" t="str">
            <v>Toucan三脚架套装</v>
          </cell>
          <cell r="D23" t="str">
            <v>Tripod for Toucan</v>
          </cell>
          <cell r="E23" t="str">
            <v>DE[德国区]</v>
          </cell>
          <cell r="F23" t="str">
            <v>2026-01-21</v>
          </cell>
          <cell r="G23" t="str">
            <v/>
          </cell>
          <cell r="H23">
            <v>36</v>
          </cell>
          <cell r="I23">
            <v>144</v>
          </cell>
        </row>
        <row r="24">
          <cell r="A24" t="str">
            <v>6975925241231</v>
          </cell>
          <cell r="B24" t="str">
            <v>G10068-A4935954961</v>
          </cell>
          <cell r="C24" t="str">
            <v>三维扫描仪Eagle JMK1 RTK</v>
          </cell>
          <cell r="D24" t="str">
            <v>3D Scanner Eagle JMK1 RTK</v>
          </cell>
          <cell r="E24" t="str">
            <v>DE[德国区]</v>
          </cell>
          <cell r="F24" t="str">
            <v>2026-01-21</v>
          </cell>
          <cell r="G24" t="str">
            <v/>
          </cell>
          <cell r="H24">
            <v>44</v>
          </cell>
          <cell r="I24">
            <v>144</v>
          </cell>
        </row>
        <row r="25">
          <cell r="A25" t="str">
            <v>6975925241248</v>
          </cell>
          <cell r="B25" t="str">
            <v>G10068-D4331561160</v>
          </cell>
          <cell r="C25" t="str">
            <v>三维扫描仪Eagle JMK2 RTK</v>
          </cell>
          <cell r="D25" t="str">
            <v>3D Scanner Eagle JMK2 RTK</v>
          </cell>
          <cell r="E25" t="str">
            <v>DE[德国区]</v>
          </cell>
          <cell r="F25" t="str">
            <v>2026-01-23</v>
          </cell>
          <cell r="G25" t="str">
            <v/>
          </cell>
          <cell r="H25">
            <v>16</v>
          </cell>
          <cell r="I25">
            <v>142</v>
          </cell>
        </row>
        <row r="26">
          <cell r="A26" t="str">
            <v>6975925241231</v>
          </cell>
          <cell r="B26" t="str">
            <v>G10068-A4935954961</v>
          </cell>
          <cell r="C26" t="str">
            <v>三维扫描仪Eagle JMK1 RTK</v>
          </cell>
          <cell r="D26" t="str">
            <v>3D Scanner Eagle JMK1 RTK</v>
          </cell>
          <cell r="E26" t="str">
            <v>DE[德国区]</v>
          </cell>
          <cell r="F26" t="str">
            <v>2026-01-23</v>
          </cell>
          <cell r="G26" t="str">
            <v/>
          </cell>
          <cell r="H26">
            <v>8</v>
          </cell>
          <cell r="I26">
            <v>142</v>
          </cell>
        </row>
        <row r="27">
          <cell r="A27" t="str">
            <v>6975925241354</v>
          </cell>
          <cell r="B27" t="str">
            <v>G10068-S3691817827</v>
          </cell>
          <cell r="C27" t="str">
            <v>Seal双轴转台(4规)</v>
          </cell>
          <cell r="D27" t="str">
            <v>Multi-Axis Turntable for Seal</v>
          </cell>
          <cell r="E27" t="str">
            <v>DE[德国区]</v>
          </cell>
          <cell r="F27" t="str">
            <v>2026-02-03</v>
          </cell>
          <cell r="G27" t="str">
            <v/>
          </cell>
          <cell r="H27">
            <v>5</v>
          </cell>
          <cell r="I27">
            <v>131</v>
          </cell>
        </row>
        <row r="28">
          <cell r="A28" t="str">
            <v>6975925241545</v>
          </cell>
          <cell r="B28" t="str">
            <v>G10068-U5913207544</v>
          </cell>
          <cell r="C28" t="str">
            <v>MTT2转台</v>
          </cell>
          <cell r="D28" t="str">
            <v>Automatic Turntable</v>
          </cell>
          <cell r="E28" t="str">
            <v>DE[德国区]</v>
          </cell>
          <cell r="F28" t="str">
            <v>2026-02-16</v>
          </cell>
          <cell r="G28" t="str">
            <v/>
          </cell>
          <cell r="H28">
            <v>30</v>
          </cell>
          <cell r="I28">
            <v>118</v>
          </cell>
        </row>
        <row r="29">
          <cell r="A29" t="str">
            <v>6975925241422</v>
          </cell>
          <cell r="B29" t="str">
            <v>G10068-N8843774280</v>
          </cell>
          <cell r="C29" t="str">
            <v>三维扫描仪Moose Lite豪华款(4规)</v>
          </cell>
          <cell r="D29" t="str">
            <v>3D Scanner Moose Lite Luxury</v>
          </cell>
          <cell r="E29" t="str">
            <v>DE[德国区]</v>
          </cell>
          <cell r="F29" t="str">
            <v>2026-02-16</v>
          </cell>
          <cell r="G29" t="str">
            <v/>
          </cell>
          <cell r="H29">
            <v>10</v>
          </cell>
          <cell r="I29">
            <v>118</v>
          </cell>
        </row>
        <row r="30">
          <cell r="A30" t="str">
            <v>6975925241514</v>
          </cell>
          <cell r="B30" t="str">
            <v>G10068-P5268459472</v>
          </cell>
          <cell r="C30" t="str">
            <v>三维扫描仪Toucan基础款(4规)</v>
          </cell>
          <cell r="D30" t="str">
            <v>3D Scanner Toucan Standard</v>
          </cell>
          <cell r="E30" t="str">
            <v>DE[德国区]</v>
          </cell>
          <cell r="F30" t="str">
            <v>2026-02-16</v>
          </cell>
          <cell r="G30" t="str">
            <v/>
          </cell>
          <cell r="H30">
            <v>22</v>
          </cell>
          <cell r="I30">
            <v>118</v>
          </cell>
        </row>
        <row r="31">
          <cell r="A31" t="str">
            <v>6975925241187</v>
          </cell>
          <cell r="B31" t="str">
            <v>G10068-G0853083951</v>
          </cell>
          <cell r="C31" t="str">
            <v>钢化膜套装</v>
          </cell>
          <cell r="D31" t="str">
            <v>Tempered Glass</v>
          </cell>
          <cell r="E31" t="str">
            <v>DE[德国区]</v>
          </cell>
          <cell r="F31" t="str">
            <v>2026-02-18</v>
          </cell>
          <cell r="G31" t="str">
            <v/>
          </cell>
          <cell r="H31">
            <v>10</v>
          </cell>
          <cell r="I31">
            <v>116</v>
          </cell>
        </row>
        <row r="32">
          <cell r="A32" t="str">
            <v>6975925241545</v>
          </cell>
          <cell r="B32" t="str">
            <v>G10068-U5913207544</v>
          </cell>
          <cell r="C32" t="str">
            <v>MTT2转台</v>
          </cell>
          <cell r="D32" t="str">
            <v>Automatic Turntable</v>
          </cell>
          <cell r="E32" t="str">
            <v>DE[德国区]</v>
          </cell>
          <cell r="F32" t="str">
            <v>2026-02-18</v>
          </cell>
          <cell r="G32" t="str">
            <v/>
          </cell>
          <cell r="H32">
            <v>10</v>
          </cell>
          <cell r="I32">
            <v>116</v>
          </cell>
        </row>
        <row r="33">
          <cell r="A33" t="str">
            <v>6975925241521</v>
          </cell>
          <cell r="B33" t="str">
            <v>G10068-U7811066551</v>
          </cell>
          <cell r="C33" t="str">
            <v>Toucan箱包套装</v>
          </cell>
          <cell r="D33" t="str">
            <v>Carrying Case for Toucan</v>
          </cell>
          <cell r="E33" t="str">
            <v>DE[德国区]</v>
          </cell>
          <cell r="F33" t="str">
            <v>2026-02-20</v>
          </cell>
          <cell r="G33" t="str">
            <v/>
          </cell>
          <cell r="H33">
            <v>55</v>
          </cell>
          <cell r="I33">
            <v>114</v>
          </cell>
        </row>
        <row r="34">
          <cell r="A34" t="str">
            <v>6975925241545</v>
          </cell>
          <cell r="B34" t="str">
            <v>G10068-U5913207544</v>
          </cell>
          <cell r="C34" t="str">
            <v>MTT2转台</v>
          </cell>
          <cell r="D34" t="str">
            <v>Automatic Turntable</v>
          </cell>
          <cell r="E34" t="str">
            <v>DE[德国区]</v>
          </cell>
          <cell r="F34" t="str">
            <v>2026-04-07</v>
          </cell>
          <cell r="G34" t="str">
            <v/>
          </cell>
          <cell r="H34">
            <v>1</v>
          </cell>
          <cell r="I34">
            <v>68</v>
          </cell>
        </row>
        <row r="35">
          <cell r="A35" t="str">
            <v>6975925241521</v>
          </cell>
          <cell r="B35" t="str">
            <v>G10068-U7811066551</v>
          </cell>
          <cell r="C35" t="str">
            <v>Toucan箱包套装</v>
          </cell>
          <cell r="D35" t="str">
            <v>Carrying Case for Toucan</v>
          </cell>
          <cell r="E35" t="str">
            <v>DE[德国区]</v>
          </cell>
          <cell r="F35" t="str">
            <v>2026-04-07</v>
          </cell>
          <cell r="G35" t="str">
            <v/>
          </cell>
          <cell r="H35">
            <v>1</v>
          </cell>
          <cell r="I35">
            <v>68</v>
          </cell>
        </row>
        <row r="36">
          <cell r="A36" t="str">
            <v>6975925240159</v>
          </cell>
          <cell r="B36" t="str">
            <v>G10068-6975925240159</v>
          </cell>
          <cell r="C36" t="str">
            <v>三维扫描仪 MOLE 3D Scanner Luxury</v>
          </cell>
          <cell r="D36" t="str">
            <v>3D SCANNER Mole Luxury</v>
          </cell>
          <cell r="E36" t="str">
            <v>DE[德国区]</v>
          </cell>
          <cell r="F36" t="str">
            <v>2026-04-11</v>
          </cell>
          <cell r="G36" t="str">
            <v/>
          </cell>
          <cell r="H36">
            <v>14</v>
          </cell>
          <cell r="I36">
            <v>64</v>
          </cell>
        </row>
        <row r="37">
          <cell r="A37" t="str">
            <v>6975925240142</v>
          </cell>
          <cell r="B37" t="str">
            <v>G10068-6975925240142</v>
          </cell>
          <cell r="C37" t="str">
            <v>三维扫描仪 MOLE 3D Scanner Premium</v>
          </cell>
          <cell r="D37" t="str">
            <v>3D SCANNER Mole Premium</v>
          </cell>
          <cell r="E37" t="str">
            <v>DE[德国区]</v>
          </cell>
          <cell r="F37" t="str">
            <v>2026-04-11</v>
          </cell>
          <cell r="G37" t="str">
            <v/>
          </cell>
          <cell r="H37">
            <v>22</v>
          </cell>
          <cell r="I37">
            <v>64</v>
          </cell>
        </row>
        <row r="38">
          <cell r="A38" t="str">
            <v>6975925241385</v>
          </cell>
          <cell r="B38" t="str">
            <v>G10068-K5433980388</v>
          </cell>
          <cell r="C38" t="str">
            <v>三维扫描仪Moose升级款(4规)</v>
          </cell>
          <cell r="D38" t="str">
            <v>3D Scanner Moose Premium</v>
          </cell>
          <cell r="E38" t="str">
            <v>DE[德国区]</v>
          </cell>
          <cell r="F38" t="str">
            <v>2026-04-11</v>
          </cell>
          <cell r="G38" t="str">
            <v/>
          </cell>
          <cell r="H38">
            <v>23</v>
          </cell>
          <cell r="I38">
            <v>64</v>
          </cell>
        </row>
        <row r="39">
          <cell r="A39" t="str">
            <v>6975925240463</v>
          </cell>
          <cell r="B39" t="str">
            <v>G10068-Q6515818653</v>
          </cell>
          <cell r="C39" t="str">
            <v>三维扫描仪Lynx升级款(英文4规版)</v>
          </cell>
          <cell r="D39" t="str">
            <v>3D Scanner Lynx Premium(EN)</v>
          </cell>
          <cell r="E39" t="str">
            <v>DE[德国区]</v>
          </cell>
          <cell r="F39" t="str">
            <v>2026-04-11</v>
          </cell>
          <cell r="G39" t="str">
            <v/>
          </cell>
          <cell r="H39">
            <v>5</v>
          </cell>
          <cell r="I39">
            <v>64</v>
          </cell>
        </row>
        <row r="40">
          <cell r="A40" t="str">
            <v>6975925241293</v>
          </cell>
          <cell r="B40" t="str">
            <v>G10068-K7513965071</v>
          </cell>
          <cell r="C40" t="str">
            <v>三维扫描仪Seal基础款(4规)</v>
          </cell>
          <cell r="D40" t="str">
            <v>3D Scanner Seal Standard</v>
          </cell>
          <cell r="E40" t="str">
            <v>DE[德国区]</v>
          </cell>
          <cell r="F40" t="str">
            <v>2026-04-20</v>
          </cell>
          <cell r="G40" t="str">
            <v/>
          </cell>
          <cell r="H40">
            <v>46</v>
          </cell>
          <cell r="I40">
            <v>55</v>
          </cell>
        </row>
        <row r="41">
          <cell r="A41" t="str">
            <v>6975925240463</v>
          </cell>
          <cell r="B41" t="str">
            <v>G10068-Q6515818653</v>
          </cell>
          <cell r="C41" t="str">
            <v>三维扫描仪Lynx升级款(英文4规版)</v>
          </cell>
          <cell r="D41" t="str">
            <v>3D Scanner Lynx Premium(EN)</v>
          </cell>
          <cell r="E41" t="str">
            <v>DE[德国区]</v>
          </cell>
          <cell r="F41" t="str">
            <v>2026-04-20</v>
          </cell>
          <cell r="G41" t="str">
            <v/>
          </cell>
          <cell r="H41">
            <v>12</v>
          </cell>
          <cell r="I41">
            <v>55</v>
          </cell>
        </row>
        <row r="42">
          <cell r="A42" t="str">
            <v>6975925241422</v>
          </cell>
          <cell r="B42" t="str">
            <v>G10068-N8843774280</v>
          </cell>
          <cell r="C42" t="str">
            <v>三维扫描仪Moose Lite豪华款(4规)</v>
          </cell>
          <cell r="D42" t="str">
            <v>3D Scanner Moose Lite Luxury</v>
          </cell>
          <cell r="E42" t="str">
            <v>DE[德国区]</v>
          </cell>
          <cell r="F42" t="str">
            <v>2026-05-11</v>
          </cell>
          <cell r="G42" t="str">
            <v/>
          </cell>
          <cell r="H42">
            <v>10</v>
          </cell>
          <cell r="I42">
            <v>34</v>
          </cell>
        </row>
        <row r="43">
          <cell r="A43" t="str">
            <v>6975925241392</v>
          </cell>
          <cell r="B43" t="str">
            <v>G10068-B6142572023</v>
          </cell>
          <cell r="C43" t="str">
            <v>三维扫描仪Moose豪华款(4规)</v>
          </cell>
          <cell r="D43" t="str">
            <v>3D Scanner Moose Luxury</v>
          </cell>
          <cell r="E43" t="str">
            <v>DE[德国区]</v>
          </cell>
          <cell r="F43" t="str">
            <v>2026-05-11</v>
          </cell>
          <cell r="G43" t="str">
            <v/>
          </cell>
          <cell r="H43">
            <v>32</v>
          </cell>
          <cell r="I43">
            <v>34</v>
          </cell>
        </row>
        <row r="44">
          <cell r="A44" t="str">
            <v>6975925241033</v>
          </cell>
          <cell r="B44" t="str">
            <v>G10068-6975925241033</v>
          </cell>
          <cell r="C44" t="str">
            <v>智能手柄数据线</v>
          </cell>
          <cell r="D44" t="str">
            <v>Cable for 3D Scanner Smart Grip</v>
          </cell>
          <cell r="E44" t="str">
            <v>DE[德国区]</v>
          </cell>
          <cell r="F44" t="str">
            <v>2026-05-13</v>
          </cell>
          <cell r="G44" t="str">
            <v/>
          </cell>
          <cell r="H44">
            <v>5</v>
          </cell>
          <cell r="I44">
            <v>32</v>
          </cell>
        </row>
        <row r="45">
          <cell r="A45" t="str">
            <v>6975925240739</v>
          </cell>
          <cell r="B45" t="str">
            <v>G10068-6975925240739</v>
          </cell>
          <cell r="C45" t="str">
            <v>Seal 手柄</v>
          </cell>
          <cell r="D45" t="str">
            <v>Seal Smart Grip</v>
          </cell>
          <cell r="E45" t="str">
            <v>DE[德国区]</v>
          </cell>
          <cell r="F45" t="str">
            <v>2026-05-13</v>
          </cell>
          <cell r="G45" t="str">
            <v/>
          </cell>
          <cell r="H45">
            <v>61</v>
          </cell>
          <cell r="I45">
            <v>32</v>
          </cell>
        </row>
        <row r="46">
          <cell r="A46" t="str">
            <v>6975925241293</v>
          </cell>
          <cell r="B46" t="str">
            <v>G10068-K7513965071</v>
          </cell>
          <cell r="C46" t="str">
            <v>三维扫描仪Seal基础款(4规)</v>
          </cell>
          <cell r="D46" t="str">
            <v>3D Scanner Seal Standard</v>
          </cell>
          <cell r="E46" t="str">
            <v>DE[德国区]</v>
          </cell>
          <cell r="F46" t="str">
            <v>2026-05-20</v>
          </cell>
          <cell r="G46" t="str">
            <v/>
          </cell>
          <cell r="H46">
            <v>32</v>
          </cell>
          <cell r="I46">
            <v>25</v>
          </cell>
        </row>
        <row r="47">
          <cell r="A47" t="str">
            <v>6975925241408</v>
          </cell>
          <cell r="B47" t="str">
            <v>G10068-A8788678864</v>
          </cell>
          <cell r="C47" t="str">
            <v>三维扫描仪Moose Lite基础款(4规)</v>
          </cell>
          <cell r="D47" t="str">
            <v>3D Scanner Moose Lite Standard</v>
          </cell>
          <cell r="E47" t="str">
            <v>DE[德国区]</v>
          </cell>
          <cell r="F47" t="str">
            <v>2026-05-20</v>
          </cell>
          <cell r="G47" t="str">
            <v/>
          </cell>
          <cell r="H47">
            <v>7</v>
          </cell>
          <cell r="I47">
            <v>25</v>
          </cell>
        </row>
        <row r="48">
          <cell r="A48" t="str">
            <v>6975925240739</v>
          </cell>
          <cell r="B48" t="str">
            <v>G10068-6975925240739</v>
          </cell>
          <cell r="C48" t="str">
            <v>Seal 手柄</v>
          </cell>
          <cell r="D48" t="str">
            <v>Seal Smart Grip</v>
          </cell>
          <cell r="E48" t="str">
            <v>DE[德国区]</v>
          </cell>
          <cell r="F48" t="str">
            <v>2026-05-21</v>
          </cell>
          <cell r="G48" t="str">
            <v/>
          </cell>
          <cell r="H48">
            <v>36</v>
          </cell>
          <cell r="I48">
            <v>24</v>
          </cell>
        </row>
        <row r="49">
          <cell r="A49" t="str">
            <v>6975925241576</v>
          </cell>
          <cell r="B49" t="str">
            <v>G10068-Q0558973006</v>
          </cell>
          <cell r="C49" t="str">
            <v>三维扫描仪Raven Max升级款(4规）</v>
          </cell>
          <cell r="D49" t="str">
            <v>3D Scanner Raven Max Premium</v>
          </cell>
          <cell r="E49" t="str">
            <v>DE[德国区]</v>
          </cell>
          <cell r="F49" t="str">
            <v>2026-05-21</v>
          </cell>
          <cell r="G49" t="str">
            <v/>
          </cell>
          <cell r="H49">
            <v>7</v>
          </cell>
          <cell r="I49">
            <v>24</v>
          </cell>
        </row>
        <row r="50">
          <cell r="A50" t="str">
            <v>6975925241569</v>
          </cell>
          <cell r="B50" t="str">
            <v>G10068-H0235245115</v>
          </cell>
          <cell r="C50" t="str">
            <v>三维扫描仪Raven Max基础款(4规)</v>
          </cell>
          <cell r="D50" t="str">
            <v>3D Scanner Raven Max Standard</v>
          </cell>
          <cell r="E50" t="str">
            <v>DE[德国区]</v>
          </cell>
          <cell r="F50" t="str">
            <v>2026-06-02</v>
          </cell>
          <cell r="G50" t="str">
            <v/>
          </cell>
          <cell r="H50">
            <v>70</v>
          </cell>
          <cell r="I50">
            <v>12</v>
          </cell>
        </row>
        <row r="51">
          <cell r="A51" t="str">
            <v>6975925241583</v>
          </cell>
          <cell r="B51" t="str">
            <v>G10068-E1982218248</v>
          </cell>
          <cell r="C51" t="str">
            <v>三维扫描仪Raven(4规)</v>
          </cell>
          <cell r="D51" t="str">
            <v>3D Scanner Raven</v>
          </cell>
          <cell r="E51" t="str">
            <v>DE[德国区]</v>
          </cell>
          <cell r="F51" t="str">
            <v>2026-06-02</v>
          </cell>
          <cell r="G51" t="str">
            <v/>
          </cell>
          <cell r="H51">
            <v>161</v>
          </cell>
          <cell r="I51">
            <v>12</v>
          </cell>
        </row>
        <row r="52">
          <cell r="A52" t="str">
            <v>6975925241576</v>
          </cell>
          <cell r="B52" t="str">
            <v>G10068-Q0558973006</v>
          </cell>
          <cell r="C52" t="str">
            <v>三维扫描仪Raven Max升级款(4规）</v>
          </cell>
          <cell r="D52" t="str">
            <v>3D Scanner Raven Max Premium</v>
          </cell>
          <cell r="E52" t="str">
            <v>DE[德国区]</v>
          </cell>
          <cell r="F52" t="str">
            <v>2026-06-08</v>
          </cell>
          <cell r="G52" t="str">
            <v/>
          </cell>
          <cell r="H52">
            <v>36</v>
          </cell>
          <cell r="I52">
            <v>6</v>
          </cell>
        </row>
        <row r="53">
          <cell r="A53" t="str">
            <v>6975925241613</v>
          </cell>
          <cell r="B53" t="str">
            <v>G10068-C1781003046</v>
          </cell>
          <cell r="C53" t="str">
            <v>三维扫描仪FOX(4规)</v>
          </cell>
          <cell r="D53" t="str">
            <v>3D Scanner FOX(EN)</v>
          </cell>
          <cell r="E53" t="str">
            <v>DE[德国区]</v>
          </cell>
          <cell r="F53" t="str">
            <v>2026-06-08</v>
          </cell>
          <cell r="G53" t="str">
            <v/>
          </cell>
          <cell r="H53">
            <v>1</v>
          </cell>
          <cell r="I53">
            <v>6</v>
          </cell>
        </row>
        <row r="54">
          <cell r="A54" t="str">
            <v>6975925241224</v>
          </cell>
          <cell r="B54" t="str">
            <v>G10068-K6842757167</v>
          </cell>
          <cell r="C54" t="str">
            <v>自行车支架套装</v>
          </cell>
          <cell r="D54" t="str">
            <v>Bicycle Kit</v>
          </cell>
          <cell r="E54" t="str">
            <v>DE[德国区]</v>
          </cell>
          <cell r="F54" t="str">
            <v>2026-06-11</v>
          </cell>
          <cell r="G54" t="str">
            <v/>
          </cell>
          <cell r="H54">
            <v>23</v>
          </cell>
          <cell r="I54">
            <v>3</v>
          </cell>
        </row>
        <row r="55">
          <cell r="A55" t="str">
            <v>6975925241200</v>
          </cell>
          <cell r="B55" t="str">
            <v>G10068-Q9476508753</v>
          </cell>
          <cell r="C55" t="str">
            <v>车顶吸盘安装套装</v>
          </cell>
          <cell r="D55" t="str">
            <v>Automotive Rooftop Mount</v>
          </cell>
          <cell r="E55" t="str">
            <v>DE[德国区]</v>
          </cell>
          <cell r="F55" t="str">
            <v>2026-06-11</v>
          </cell>
          <cell r="G55" t="str">
            <v/>
          </cell>
          <cell r="H55">
            <v>9</v>
          </cell>
          <cell r="I55">
            <v>3</v>
          </cell>
        </row>
        <row r="56">
          <cell r="A56" t="str">
            <v>6975925241378</v>
          </cell>
          <cell r="B56" t="str">
            <v>G10068-S6729510507</v>
          </cell>
          <cell r="C56" t="str">
            <v>三维扫描仪Moose基础款(4规)</v>
          </cell>
          <cell r="D56" t="str">
            <v>3D Scanner Moose Standard</v>
          </cell>
          <cell r="E56" t="str">
            <v>DE[德国区]</v>
          </cell>
          <cell r="F56" t="str">
            <v>2026-06-11</v>
          </cell>
          <cell r="G56" t="str">
            <v/>
          </cell>
          <cell r="H56">
            <v>29</v>
          </cell>
          <cell r="I56">
            <v>3</v>
          </cell>
        </row>
        <row r="57">
          <cell r="A57" t="str">
            <v>6975925241408</v>
          </cell>
          <cell r="B57" t="str">
            <v>G10068-A8788678864</v>
          </cell>
          <cell r="C57" t="str">
            <v>三维扫描仪Moose Lite基础款(4规)</v>
          </cell>
          <cell r="D57" t="str">
            <v>3D Scanner Moose Lite Standard</v>
          </cell>
          <cell r="E57" t="str">
            <v>DE[德国区]</v>
          </cell>
          <cell r="F57" t="str">
            <v>2026-06-11</v>
          </cell>
          <cell r="G57" t="str">
            <v/>
          </cell>
          <cell r="H57">
            <v>60</v>
          </cell>
          <cell r="I57">
            <v>3</v>
          </cell>
        </row>
        <row r="58">
          <cell r="A58" t="str">
            <v>6975925241323</v>
          </cell>
          <cell r="B58" t="str">
            <v>G10068-L9214929219</v>
          </cell>
          <cell r="C58" t="str">
            <v>三维扫描仪Seal Lite基础款(4规)</v>
          </cell>
          <cell r="D58" t="str">
            <v>3D Scanner Seal Lite Standard</v>
          </cell>
          <cell r="E58" t="str">
            <v>DE[德国区]</v>
          </cell>
          <cell r="F58" t="str">
            <v>2026-06-11</v>
          </cell>
          <cell r="G58" t="str">
            <v/>
          </cell>
          <cell r="H58">
            <v>158</v>
          </cell>
          <cell r="I58">
            <v>3</v>
          </cell>
        </row>
        <row r="59">
          <cell r="A59" t="str">
            <v>6975925241385</v>
          </cell>
          <cell r="B59" t="str">
            <v>G10068-K5433980388</v>
          </cell>
          <cell r="C59" t="str">
            <v>三维扫描仪Moose升级款(4规)</v>
          </cell>
          <cell r="D59" t="str">
            <v>3D Scanner Moose Premium</v>
          </cell>
          <cell r="E59" t="str">
            <v>DE[德国区]</v>
          </cell>
          <cell r="F59" t="str">
            <v>2026-06-11</v>
          </cell>
          <cell r="G59" t="str">
            <v/>
          </cell>
          <cell r="H59">
            <v>72</v>
          </cell>
          <cell r="I59">
            <v>3</v>
          </cell>
        </row>
        <row r="60">
          <cell r="A60" t="str">
            <v>6975925241354</v>
          </cell>
          <cell r="B60" t="str">
            <v>G10068-S3691817827</v>
          </cell>
          <cell r="C60" t="str">
            <v>Seal双轴转台(4规)</v>
          </cell>
          <cell r="D60" t="str">
            <v>Multi-Axis Turntable for Seal</v>
          </cell>
          <cell r="E60" t="str">
            <v>DE[德国区]</v>
          </cell>
          <cell r="F60" t="str">
            <v>2026-06-11</v>
          </cell>
          <cell r="G60" t="str">
            <v/>
          </cell>
          <cell r="H60">
            <v>20</v>
          </cell>
          <cell r="I60">
            <v>3</v>
          </cell>
        </row>
        <row r="61">
          <cell r="A61" t="str">
            <v>6975925240746</v>
          </cell>
          <cell r="B61" t="str">
            <v>G10068-6975925240746</v>
          </cell>
          <cell r="C61" t="str">
            <v>Seal/Seal Lite转台</v>
          </cell>
          <cell r="D61" t="str">
            <v>Turntable for Seal/Seal Lite</v>
          </cell>
          <cell r="E61" t="str">
            <v>DE[德国区]</v>
          </cell>
          <cell r="F61" t="str">
            <v>2026-06-11</v>
          </cell>
          <cell r="G61" t="str">
            <v/>
          </cell>
          <cell r="H61">
            <v>111</v>
          </cell>
          <cell r="I61">
            <v>3</v>
          </cell>
        </row>
        <row r="62">
          <cell r="A62" t="str">
            <v>6975925241293</v>
          </cell>
          <cell r="B62" t="str">
            <v>G10068-K7513965071</v>
          </cell>
          <cell r="C62" t="str">
            <v>三维扫描仪Seal基础款(4规)</v>
          </cell>
          <cell r="D62" t="str">
            <v>3D Scanner Seal Standard</v>
          </cell>
          <cell r="E62" t="str">
            <v>DE[德国区]</v>
          </cell>
          <cell r="F62" t="str">
            <v>2026-06-11</v>
          </cell>
          <cell r="G62" t="str">
            <v/>
          </cell>
          <cell r="H62">
            <v>80</v>
          </cell>
          <cell r="I62">
            <v>3</v>
          </cell>
        </row>
      </sheetData>
      <sheetData sheetId="16"/>
      <sheetData sheetId="17"/>
      <sheetData sheetId="18"/>
    </sheetDataSet>
  </externalBook>
</externalLink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211"/>
  <sheetViews>
    <sheetView tabSelected="1" zoomScale="90" zoomScaleNormal="90" workbookViewId="0">
      <selection activeCell="M2" sqref="M2"/>
    </sheetView>
  </sheetViews>
  <sheetFormatPr defaultColWidth="8.88888888888889" defaultRowHeight="14.4"/>
  <cols>
    <col min="1" max="1" width="14.9259259259259" style="3" customWidth="1"/>
    <col min="2" max="2" width="17.6481481481481" style="4" customWidth="1"/>
    <col min="3" max="3" width="13.3240740740741" customWidth="1"/>
    <col min="4" max="4" width="13.0740740740741" style="5" customWidth="1"/>
    <col min="5" max="5" width="31.8518518518519" style="6" customWidth="1"/>
    <col min="6" max="6" width="16.5462962962963" style="6" customWidth="1"/>
    <col min="7" max="7" width="13.9444444444444" style="7" customWidth="1"/>
    <col min="8" max="8" width="10.8611111111111" style="5" customWidth="1"/>
    <col min="9" max="9" width="11.5555555555556" style="8" customWidth="1"/>
    <col min="10" max="10" width="14.3333333333333" style="8" customWidth="1"/>
    <col min="11" max="11" width="9.99074074074074" style="9" customWidth="1"/>
    <col min="12" max="12" width="9.87962962962963" style="10" customWidth="1"/>
  </cols>
  <sheetData>
    <row r="1" ht="44" customHeight="1" spans="1:12">
      <c r="A1" s="11" t="s">
        <v>0</v>
      </c>
      <c r="B1" s="11" t="s">
        <v>1</v>
      </c>
      <c r="C1" s="12" t="s">
        <v>2</v>
      </c>
      <c r="D1" s="11" t="s">
        <v>3</v>
      </c>
      <c r="E1" s="11" t="s">
        <v>4</v>
      </c>
      <c r="F1" s="11" t="s">
        <v>5</v>
      </c>
      <c r="G1" s="13" t="s">
        <v>6</v>
      </c>
      <c r="H1" s="11" t="s">
        <v>7</v>
      </c>
      <c r="I1" s="14" t="s">
        <v>8</v>
      </c>
      <c r="J1" s="14" t="s">
        <v>9</v>
      </c>
      <c r="K1" s="14" t="s">
        <v>10</v>
      </c>
      <c r="L1" s="15" t="s">
        <v>11</v>
      </c>
    </row>
    <row r="2" customFormat="1" ht="24" spans="1:12">
      <c r="A2" s="16" t="s">
        <v>12</v>
      </c>
      <c r="B2" s="17" t="s">
        <v>13</v>
      </c>
      <c r="C2" s="18" t="s">
        <v>14</v>
      </c>
      <c r="D2" s="19">
        <v>1300100048</v>
      </c>
      <c r="E2" s="20" t="str">
        <f>VLOOKUP(D2,[2]SKU!A:AK,2,0)</f>
        <v>Mole Connect手机云台(安卓版)(英文版）</v>
      </c>
      <c r="F2" s="21" t="str">
        <f>VLOOKUP(D2,[2]SKU!A:AK,8,0)</f>
        <v>三维扫描仪备品备件</v>
      </c>
      <c r="G2" s="21" t="s">
        <v>15</v>
      </c>
      <c r="H2" s="17" t="str">
        <f>VLOOKUP(D2,[2]SKU!A:AK,26,0)</f>
        <v>-</v>
      </c>
      <c r="I2" s="22">
        <f>VLOOKUP(A2,[2]谷仓US!A:P,15,0)</f>
        <v>42</v>
      </c>
      <c r="J2" s="23" t="str">
        <f>IF(I2=0,"-",IF(VLOOKUP(A2,[2]谷仓US库龄!A:I,9,0)&gt;365,"≥1 Year",IF(VLOOKUP(A2,[2]谷仓US库龄!A:I,9,0)&gt;270,"≥9 Months",IF(VLOOKUP(A2,[2]谷仓US库龄!A:I,9,0)&gt;180,"≥6 Months",IF(VLOOKUP(A2,[2]谷仓US库龄!A:I,9,0)&gt;90,"≥3 Months","正常")))))</f>
        <v>≥1 Year</v>
      </c>
      <c r="K2" s="24" t="str">
        <f>IF(VLOOKUP(A2,[2]谷仓US!A:P,12,0)=0,"",VLOOKUP(A2,[2]谷仓US!A:P,12,0))</f>
        <v/>
      </c>
      <c r="L2" s="10"/>
    </row>
    <row r="3" customFormat="1" ht="24" spans="1:12">
      <c r="A3" s="16" t="s">
        <v>16</v>
      </c>
      <c r="B3" s="17" t="s">
        <v>17</v>
      </c>
      <c r="C3" s="18" t="s">
        <v>14</v>
      </c>
      <c r="D3" s="19">
        <v>1300100047</v>
      </c>
      <c r="E3" s="20" t="str">
        <f>VLOOKUP(D3,[2]SKU!A:AK,2,0)</f>
        <v>Mole Connect手机云台(苹果版)(英文版）</v>
      </c>
      <c r="F3" s="21" t="str">
        <f>VLOOKUP(D3,[2]SKU!A:AK,8,0)</f>
        <v>三维扫描仪备品备件</v>
      </c>
      <c r="G3" s="21" t="s">
        <v>15</v>
      </c>
      <c r="H3" s="17" t="str">
        <f>VLOOKUP(D3,[2]SKU!A:AK,26,0)</f>
        <v>-</v>
      </c>
      <c r="I3" s="22">
        <f>VLOOKUP(A3,[2]谷仓US!A:P,15,0)</f>
        <v>94</v>
      </c>
      <c r="J3" s="23" t="str">
        <f>IF(I3=0,"-",IF(VLOOKUP(A3,[2]谷仓US库龄!A:I,9,0)&gt;365,"≥1 Year",IF(VLOOKUP(A3,[2]谷仓US库龄!A:I,9,0)&gt;270,"≥9 Months",IF(VLOOKUP(A3,[2]谷仓US库龄!A:I,9,0)&gt;180,"≥6 Months",IF(VLOOKUP(A3,[2]谷仓US库龄!A:I,9,0)&gt;90,"≥3 Months","正常")))))</f>
        <v>≥1 Year</v>
      </c>
      <c r="K3" s="24" t="str">
        <f>IF(VLOOKUP(A3,[2]谷仓US!A:P,12,0)=0,"",VLOOKUP(A3,[2]谷仓US!A:P,12,0))</f>
        <v/>
      </c>
      <c r="L3" s="10"/>
    </row>
    <row r="4" customFormat="1" ht="15.6" spans="1:12">
      <c r="A4" s="84" t="s">
        <v>18</v>
      </c>
      <c r="B4" s="17">
        <v>1300100219</v>
      </c>
      <c r="C4" s="18" t="s">
        <v>14</v>
      </c>
      <c r="D4" s="19">
        <v>1300100219</v>
      </c>
      <c r="E4" s="20" t="s">
        <v>19</v>
      </c>
      <c r="F4" s="21" t="s">
        <v>20</v>
      </c>
      <c r="G4" s="21" t="s">
        <v>21</v>
      </c>
      <c r="H4" s="17" t="str">
        <f>VLOOKUP(D4,[2]SKU!A:AK,26,0)</f>
        <v>JMS2</v>
      </c>
      <c r="I4" s="22">
        <f>VLOOKUP(A4,[2]谷仓US!A:P,15,0)</f>
        <v>1</v>
      </c>
      <c r="J4" s="23" t="str">
        <f>IF(I4=0,"-",IF(VLOOKUP(A4,[2]谷仓US库龄!A:I,9,0)&gt;365,"≥1 Year",IF(VLOOKUP(A4,[2]谷仓US库龄!A:I,9,0)&gt;270,"≥9 Months",IF(VLOOKUP(A4,[2]谷仓US库龄!A:I,9,0)&gt;180,"≥6 Months",IF(VLOOKUP(A4,[2]谷仓US库龄!A:I,9,0)&gt;90,"≥3 Months","正常")))))</f>
        <v>正常</v>
      </c>
      <c r="K4" s="24">
        <f>IF(VLOOKUP(A4,[2]谷仓US!A:P,12,0)=0,"",VLOOKUP(A4,[2]谷仓US!A:P,12,0))</f>
        <v>96</v>
      </c>
      <c r="L4" s="10"/>
    </row>
    <row r="5" customFormat="1" ht="15.6" spans="1:12">
      <c r="A5" s="84" t="s">
        <v>22</v>
      </c>
      <c r="B5" s="17">
        <v>1300100222</v>
      </c>
      <c r="C5" s="18" t="s">
        <v>14</v>
      </c>
      <c r="D5" s="19">
        <v>1300100222</v>
      </c>
      <c r="E5" s="20" t="s">
        <v>23</v>
      </c>
      <c r="F5" s="21" t="s">
        <v>24</v>
      </c>
      <c r="G5" s="21" t="s">
        <v>25</v>
      </c>
      <c r="H5" s="17" t="str">
        <f>VLOOKUP(D5,[2]SKU!A:AK,26,0)</f>
        <v>JMS1</v>
      </c>
      <c r="I5" s="22">
        <f>VLOOKUP(A5,[2]谷仓US!A:P,15,0)</f>
        <v>72</v>
      </c>
      <c r="J5" s="23" t="str">
        <f>IF(I5=0,"-",IF(VLOOKUP(A5,[2]谷仓US库龄!A:I,9,0)&gt;365,"≥1 Year",IF(VLOOKUP(A5,[2]谷仓US库龄!A:I,9,0)&gt;270,"≥9 Months",IF(VLOOKUP(A5,[2]谷仓US库龄!A:I,9,0)&gt;180,"≥6 Months",IF(VLOOKUP(A5,[2]谷仓US库龄!A:I,9,0)&gt;90,"≥3 Months","正常")))))</f>
        <v>正常</v>
      </c>
      <c r="K5" s="24">
        <f>IF(VLOOKUP(A5,[2]谷仓US!A:P,12,0)=0,"",VLOOKUP(A5,[2]谷仓US!A:P,12,0))</f>
        <v>32</v>
      </c>
      <c r="L5" s="10"/>
    </row>
    <row r="6" customFormat="1" ht="15.6" spans="1:12">
      <c r="A6" s="16" t="s">
        <v>26</v>
      </c>
      <c r="B6" s="17" t="s">
        <v>27</v>
      </c>
      <c r="C6" s="18" t="s">
        <v>14</v>
      </c>
      <c r="D6" s="19">
        <v>1300100118</v>
      </c>
      <c r="E6" s="20" t="str">
        <f>VLOOKUP(D6,[2]SKU!A:AK,2,0)</f>
        <v>Seal/Seal lite转台套餐</v>
      </c>
      <c r="F6" s="21" t="s">
        <v>28</v>
      </c>
      <c r="G6" s="21" t="s">
        <v>29</v>
      </c>
      <c r="H6" s="17" t="str">
        <f>VLOOKUP(D6,[2]SKU!A:AK,26,0)</f>
        <v>-</v>
      </c>
      <c r="I6" s="22">
        <f>VLOOKUP(A6,[2]谷仓US!A:P,15,0)</f>
        <v>92</v>
      </c>
      <c r="J6" s="23" t="str">
        <f>IF(I6=0,"-",IF(VLOOKUP(A6,[2]谷仓US库龄!A:I,9,0)&gt;365,"≥1 Year",IF(VLOOKUP(A6,[2]谷仓US库龄!A:I,9,0)&gt;270,"≥9 Months",IF(VLOOKUP(A6,[2]谷仓US库龄!A:I,9,0)&gt;180,"≥6 Months",IF(VLOOKUP(A6,[2]谷仓US库龄!A:I,9,0)&gt;90,"≥3 Months","正常")))))</f>
        <v>正常</v>
      </c>
      <c r="K6" s="24">
        <f>IF(VLOOKUP(A6,[2]谷仓US!A:P,12,0)=0,"",VLOOKUP(A6,[2]谷仓US!A:P,12,0))</f>
        <v>300</v>
      </c>
      <c r="L6" s="10"/>
    </row>
    <row r="7" customFormat="1" ht="15.6" spans="1:12">
      <c r="A7" s="16" t="s">
        <v>30</v>
      </c>
      <c r="B7" s="17" t="s">
        <v>31</v>
      </c>
      <c r="C7" s="18" t="s">
        <v>14</v>
      </c>
      <c r="D7" s="19">
        <v>1200100064</v>
      </c>
      <c r="E7" s="20" t="str">
        <f>VLOOKUP(D7,[2]SKU!A:AK,2,0)</f>
        <v>Seal三脚架套装</v>
      </c>
      <c r="F7" s="21" t="str">
        <f>VLOOKUP(D7,[2]SKU!A:AK,8,0)</f>
        <v>三维扫描仪备品备件</v>
      </c>
      <c r="G7" s="21" t="s">
        <v>32</v>
      </c>
      <c r="H7" s="17" t="str">
        <f>VLOOKUP(D7,[2]SKU!A:AK,26,0)</f>
        <v>-</v>
      </c>
      <c r="I7" s="22">
        <f>VLOOKUP(A7,[2]谷仓US!A:P,15,0)</f>
        <v>25</v>
      </c>
      <c r="J7" s="23" t="str">
        <f>IF(I7=0,"-",IF(VLOOKUP(A7,[2]谷仓US库龄!A:I,9,0)&gt;365,"≥1 Year",IF(VLOOKUP(A7,[2]谷仓US库龄!A:I,9,0)&gt;270,"≥9 Months",IF(VLOOKUP(A7,[2]谷仓US库龄!A:I,9,0)&gt;180,"≥6 Months",IF(VLOOKUP(A7,[2]谷仓US库龄!A:I,9,0)&gt;90,"≥3 Months","正常")))))</f>
        <v>≥3 Months</v>
      </c>
      <c r="K7" s="24">
        <f>IF(VLOOKUP(A7,[2]谷仓US!A:P,12,0)=0,"",VLOOKUP(A7,[2]谷仓US!A:P,12,0))</f>
        <v>100</v>
      </c>
      <c r="L7" s="10"/>
    </row>
    <row r="8" customFormat="1" ht="15.6" spans="1:12">
      <c r="A8" s="16" t="s">
        <v>33</v>
      </c>
      <c r="B8" s="17" t="s">
        <v>34</v>
      </c>
      <c r="C8" s="18" t="s">
        <v>14</v>
      </c>
      <c r="D8" s="19">
        <v>1300100082</v>
      </c>
      <c r="E8" s="20" t="str">
        <f>VLOOKUP(D8,[2]SKU!A:AK,2,0)</f>
        <v>三维扫描仪智能手柄</v>
      </c>
      <c r="F8" s="21" t="str">
        <f>VLOOKUP(D8,[2]SKU!A:AK,8,0)</f>
        <v>三维扫描仪备品备件</v>
      </c>
      <c r="G8" s="21" t="s">
        <v>35</v>
      </c>
      <c r="H8" s="17" t="str">
        <f>VLOOKUP(D8,[2]SKU!A:AK,26,0)</f>
        <v>JMB1</v>
      </c>
      <c r="I8" s="22">
        <f>VLOOKUP(A8,[2]谷仓US!A:P,15,0)</f>
        <v>0</v>
      </c>
      <c r="J8" s="23" t="str">
        <f>IF(I8=0,"-",IF(VLOOKUP(A8,[2]谷仓US库龄!A:I,9,0)&gt;365,"≥1 Year",IF(VLOOKUP(A8,[2]谷仓US库龄!A:I,9,0)&gt;270,"≥9 Months",IF(VLOOKUP(A8,[2]谷仓US库龄!A:I,9,0)&gt;180,"≥6 Months",IF(VLOOKUP(A8,[2]谷仓US库龄!A:I,9,0)&gt;90,"≥3 Months","正常")))))</f>
        <v>-</v>
      </c>
      <c r="K8" s="24">
        <f>IF(VLOOKUP(A8,[2]谷仓US!A:P,12,0)=0,"",VLOOKUP(A8,[2]谷仓US!A:P,12,0))</f>
        <v>60</v>
      </c>
      <c r="L8" s="10"/>
    </row>
    <row r="9" customFormat="1" ht="15.6" spans="1:12">
      <c r="A9" s="84" t="s">
        <v>36</v>
      </c>
      <c r="B9" s="17">
        <v>1021900174</v>
      </c>
      <c r="C9" s="18" t="s">
        <v>14</v>
      </c>
      <c r="D9" s="25">
        <v>1021900174</v>
      </c>
      <c r="E9" s="20" t="str">
        <f>VLOOKUP(D9,[2]SKU!A:AK,2,0)</f>
        <v>智能手柄数据线</v>
      </c>
      <c r="F9" s="26" t="str">
        <f>VLOOKUP(D9,[2]SKU!A:AK,8,0)</f>
        <v>三维扫描仪备品备件</v>
      </c>
      <c r="G9" s="21" t="s">
        <v>15</v>
      </c>
      <c r="H9" s="17" t="str">
        <f>VLOOKUP(D9,[2]SKU!A:AK,26,0)</f>
        <v>-</v>
      </c>
      <c r="I9" s="22">
        <f>VLOOKUP(A9,[2]谷仓US!A:P,15,0)</f>
        <v>116</v>
      </c>
      <c r="J9" s="23" t="str">
        <f>IF(I9=0,"-",IF(VLOOKUP(A9,[2]谷仓US库龄!A:I,9,0)&gt;365,"≥1 Year",IF(VLOOKUP(A9,[2]谷仓US库龄!A:I,9,0)&gt;270,"≥9 Months",IF(VLOOKUP(A9,[2]谷仓US库龄!A:I,9,0)&gt;180,"≥6 Months",IF(VLOOKUP(A9,[2]谷仓US库龄!A:I,9,0)&gt;90,"≥3 Months","正常")))))</f>
        <v>≥1 Year</v>
      </c>
      <c r="K9" s="24" t="str">
        <f>IF(VLOOKUP(A9,[2]谷仓US!A:P,12,0)=0,"",VLOOKUP(A9,[2]谷仓US!A:P,12,0))</f>
        <v/>
      </c>
      <c r="L9" s="10"/>
    </row>
    <row r="10" customFormat="1" ht="15.6" spans="1:12">
      <c r="A10" s="16" t="s">
        <v>37</v>
      </c>
      <c r="B10" s="17" t="s">
        <v>38</v>
      </c>
      <c r="C10" s="18" t="s">
        <v>14</v>
      </c>
      <c r="D10" s="19">
        <v>1300100066</v>
      </c>
      <c r="E10" s="20" t="str">
        <f>VLOOKUP(D10,[2]SKU!A:AK,2,0)</f>
        <v>Mole三脚架套餐</v>
      </c>
      <c r="F10" s="21" t="str">
        <f>VLOOKUP(D10,[2]SKU!A:AK,8,0)</f>
        <v>三维扫描仪备品备件</v>
      </c>
      <c r="G10" s="21" t="s">
        <v>15</v>
      </c>
      <c r="H10" s="17" t="str">
        <f>VLOOKUP(D10,[2]SKU!A:AK,26,0)</f>
        <v>-</v>
      </c>
      <c r="I10" s="22">
        <f>VLOOKUP(A10,[2]谷仓US!A:P,15,0)</f>
        <v>17</v>
      </c>
      <c r="J10" s="23" t="str">
        <f>IF(I10=0,"-",IF(VLOOKUP(A10,[2]谷仓US库龄!A:I,9,0)&gt;365,"≥1 Year",IF(VLOOKUP(A10,[2]谷仓US库龄!A:I,9,0)&gt;270,"≥9 Months",IF(VLOOKUP(A10,[2]谷仓US库龄!A:I,9,0)&gt;180,"≥6 Months",IF(VLOOKUP(A10,[2]谷仓US库龄!A:I,9,0)&gt;90,"≥3 Months","正常")))))</f>
        <v>≥1 Year</v>
      </c>
      <c r="K10" s="24" t="str">
        <f>IF(VLOOKUP(A10,[2]谷仓US!A:P,12,0)=0,"",VLOOKUP(A10,[2]谷仓US!A:P,12,0))</f>
        <v/>
      </c>
      <c r="L10" s="10"/>
    </row>
    <row r="11" customFormat="1" ht="15.6" spans="1:12">
      <c r="A11" s="16" t="s">
        <v>39</v>
      </c>
      <c r="B11" s="17" t="s">
        <v>40</v>
      </c>
      <c r="C11" s="18" t="s">
        <v>14</v>
      </c>
      <c r="D11" s="19">
        <v>1300100073</v>
      </c>
      <c r="E11" s="20" t="str">
        <f>VLOOKUP(D11,[2]SKU!A:AK,2,0)</f>
        <v>Lynx三脚架套餐</v>
      </c>
      <c r="F11" s="21" t="str">
        <f>VLOOKUP(D11,[2]SKU!A:AK,8,0)</f>
        <v>三维扫描仪备品备件</v>
      </c>
      <c r="G11" s="21" t="s">
        <v>15</v>
      </c>
      <c r="H11" s="17" t="str">
        <f>VLOOKUP(D11,[2]SKU!A:AK,26,0)</f>
        <v>-</v>
      </c>
      <c r="I11" s="22">
        <f>VLOOKUP(A11,[2]谷仓US!A:P,15,0)</f>
        <v>28</v>
      </c>
      <c r="J11" s="23" t="str">
        <f>IF(I11=0,"-",IF(VLOOKUP(A11,[2]谷仓US库龄!A:I,9,0)&gt;365,"≥1 Year",IF(VLOOKUP(A11,[2]谷仓US库龄!A:I,9,0)&gt;270,"≥9 Months",IF(VLOOKUP(A11,[2]谷仓US库龄!A:I,9,0)&gt;180,"≥6 Months",IF(VLOOKUP(A11,[2]谷仓US库龄!A:I,9,0)&gt;90,"≥3 Months","正常")))))</f>
        <v>≥1 Year</v>
      </c>
      <c r="K11" s="24" t="str">
        <f>IF(VLOOKUP(A11,[2]谷仓US!A:P,12,0)=0,"",VLOOKUP(A11,[2]谷仓US!A:P,12,0))</f>
        <v/>
      </c>
      <c r="L11" s="10"/>
    </row>
    <row r="12" customFormat="1" ht="15.6" spans="1:12">
      <c r="A12" s="16" t="s">
        <v>41</v>
      </c>
      <c r="B12" s="17" t="s">
        <v>42</v>
      </c>
      <c r="C12" s="18" t="s">
        <v>14</v>
      </c>
      <c r="D12" s="19">
        <v>1300100139</v>
      </c>
      <c r="E12" s="20" t="str">
        <f>VLOOKUP(D12,[2]SKU!A:AK,2,0)</f>
        <v>Seal双轴转台(美规)</v>
      </c>
      <c r="F12" s="21" t="str">
        <f>VLOOKUP(D12,[2]SKU!A:AK,8,0)</f>
        <v>三维扫描仪备品备件</v>
      </c>
      <c r="G12" s="21" t="s">
        <v>43</v>
      </c>
      <c r="H12" s="17" t="str">
        <f>VLOOKUP(D12,[2]SKU!A:AK,26,0)</f>
        <v>-</v>
      </c>
      <c r="I12" s="22">
        <f>VLOOKUP(A12,[2]谷仓US!A:P,15,0)</f>
        <v>23</v>
      </c>
      <c r="J12" s="23" t="str">
        <f>IF(I12=0,"-",IF(VLOOKUP(A12,[2]谷仓US库龄!A:I,9,0)&gt;365,"≥1 Year",IF(VLOOKUP(A12,[2]谷仓US库龄!A:I,9,0)&gt;270,"≥9 Months",IF(VLOOKUP(A12,[2]谷仓US库龄!A:I,9,0)&gt;180,"≥6 Months",IF(VLOOKUP(A12,[2]谷仓US库龄!A:I,9,0)&gt;90,"≥3 Months","正常")))))</f>
        <v>正常</v>
      </c>
      <c r="K12" s="24">
        <f>IF(VLOOKUP(A12,[2]谷仓US!A:P,12,0)=0,"",VLOOKUP(A12,[2]谷仓US!A:P,12,0))</f>
        <v>40</v>
      </c>
      <c r="L12" s="10"/>
    </row>
    <row r="13" customFormat="1" ht="15.6" spans="1:12">
      <c r="A13" s="16" t="s">
        <v>44</v>
      </c>
      <c r="B13" s="27">
        <v>1300100229</v>
      </c>
      <c r="C13" s="18" t="s">
        <v>14</v>
      </c>
      <c r="D13" s="19">
        <v>1300100229</v>
      </c>
      <c r="E13" s="20" t="s">
        <v>45</v>
      </c>
      <c r="F13" s="21" t="str">
        <f>VLOOKUP(D13,[2]SKU!A:AK,8,0)</f>
        <v>三维扫描仪-JMM3</v>
      </c>
      <c r="G13" s="21" t="s">
        <v>46</v>
      </c>
      <c r="H13" s="17" t="str">
        <f>VLOOKUP(D13,[2]SKU!A:AK,26,0)</f>
        <v>JMM3</v>
      </c>
      <c r="I13" s="22">
        <f>VLOOKUP(A13,[2]谷仓US!A:P,15,0)</f>
        <v>52</v>
      </c>
      <c r="J13" s="23" t="str">
        <f>IF(I13=0,"-",IF(VLOOKUP(A13,[2]谷仓US库龄!A:I,9,0)&gt;365,"≥1 Year",IF(VLOOKUP(A13,[2]谷仓US库龄!A:I,9,0)&gt;270,"≥9 Months",IF(VLOOKUP(A13,[2]谷仓US库龄!A:I,9,0)&gt;180,"≥6 Months",IF(VLOOKUP(A13,[2]谷仓US库龄!A:I,9,0)&gt;90,"≥3 Months","正常")))))</f>
        <v>正常</v>
      </c>
      <c r="K13" s="24">
        <f>IF(VLOOKUP(A13,[2]谷仓US!A:P,12,0)=0,"",VLOOKUP(A13,[2]谷仓US!A:P,12,0))</f>
        <v>20</v>
      </c>
      <c r="L13" s="10"/>
    </row>
    <row r="14" customFormat="1" ht="15.6" spans="1:12">
      <c r="A14" s="84" t="s">
        <v>47</v>
      </c>
      <c r="B14" s="17">
        <v>1300100230</v>
      </c>
      <c r="C14" s="18" t="s">
        <v>14</v>
      </c>
      <c r="D14" s="19">
        <v>1300100230</v>
      </c>
      <c r="E14" s="20" t="s">
        <v>48</v>
      </c>
      <c r="F14" s="21" t="s">
        <v>49</v>
      </c>
      <c r="G14" s="21" t="s">
        <v>50</v>
      </c>
      <c r="H14" s="17" t="s">
        <v>51</v>
      </c>
      <c r="I14" s="22">
        <f>VLOOKUP(A14,[2]谷仓US!A:P,15,0)</f>
        <v>41</v>
      </c>
      <c r="J14" s="23" t="str">
        <f>IF(I14=0,"-",IF(VLOOKUP(A14,[2]谷仓US库龄!A:I,9,0)&gt;365,"≥1 Year",IF(VLOOKUP(A14,[2]谷仓US库龄!A:I,9,0)&gt;270,"≥9 Months",IF(VLOOKUP(A14,[2]谷仓US库龄!A:I,9,0)&gt;180,"≥6 Months",IF(VLOOKUP(A14,[2]谷仓US库龄!A:I,9,0)&gt;90,"≥3 Months","正常")))))</f>
        <v>正常</v>
      </c>
      <c r="K14" s="24" t="str">
        <f>IF(VLOOKUP(A14,[2]谷仓US!A:P,12,0)=0,"",VLOOKUP(A14,[2]谷仓US!A:P,12,0))</f>
        <v/>
      </c>
      <c r="L14" s="10"/>
    </row>
    <row r="15" customFormat="1" ht="15.6" spans="1:12">
      <c r="A15" s="16" t="s">
        <v>52</v>
      </c>
      <c r="B15" s="27">
        <v>1300100231</v>
      </c>
      <c r="C15" s="18" t="s">
        <v>14</v>
      </c>
      <c r="D15" s="19">
        <v>1300100231</v>
      </c>
      <c r="E15" s="20" t="s">
        <v>53</v>
      </c>
      <c r="F15" s="21" t="str">
        <f>VLOOKUP(D15,[2]SKU!A:AK,8,0)</f>
        <v>三维扫描仪-JMM3</v>
      </c>
      <c r="G15" s="21" t="s">
        <v>54</v>
      </c>
      <c r="H15" s="17" t="str">
        <f>VLOOKUP(D15,[2]SKU!A:AK,26,0)</f>
        <v>JMM3</v>
      </c>
      <c r="I15" s="22">
        <f>VLOOKUP(A15,[2]谷仓US!A:P,15,0)</f>
        <v>0</v>
      </c>
      <c r="J15" s="23" t="str">
        <f>IF(I15=0,"-",IF(VLOOKUP(A15,[2]谷仓US库龄!A:I,9,0)&gt;365,"≥1 Year",IF(VLOOKUP(A15,[2]谷仓US库龄!A:I,9,0)&gt;270,"≥9 Months",IF(VLOOKUP(A15,[2]谷仓US库龄!A:I,9,0)&gt;180,"≥6 Months",IF(VLOOKUP(A15,[2]谷仓US库龄!A:I,9,0)&gt;90,"≥3 Months","正常")))))</f>
        <v>-</v>
      </c>
      <c r="K15" s="24" t="str">
        <f>IF(VLOOKUP(A15,[2]谷仓US!A:P,12,0)=0,"",VLOOKUP(A15,[2]谷仓US!A:P,12,0))</f>
        <v/>
      </c>
      <c r="L15" s="10"/>
    </row>
    <row r="16" customFormat="1" ht="15.6" spans="1:12">
      <c r="A16" s="16" t="s">
        <v>55</v>
      </c>
      <c r="B16" s="27">
        <v>1300100232</v>
      </c>
      <c r="C16" s="18" t="s">
        <v>14</v>
      </c>
      <c r="D16" s="19">
        <v>1300100232</v>
      </c>
      <c r="E16" s="20" t="s">
        <v>56</v>
      </c>
      <c r="F16" s="21" t="str">
        <f>VLOOKUP(D16,[2]SKU!A:AK,8,0)</f>
        <v>三维扫描仪-JMM4</v>
      </c>
      <c r="G16" s="21" t="s">
        <v>57</v>
      </c>
      <c r="H16" s="17" t="str">
        <f>VLOOKUP(D16,[2]SKU!A:AK,26,0)</f>
        <v>JMM4</v>
      </c>
      <c r="I16" s="22">
        <f>VLOOKUP(A16,[2]谷仓US!A:P,15,0)</f>
        <v>7</v>
      </c>
      <c r="J16" s="23" t="str">
        <f>IF(I16=0,"-",IF(VLOOKUP(A16,[2]谷仓US库龄!A:I,9,0)&gt;365,"≥1 Year",IF(VLOOKUP(A16,[2]谷仓US库龄!A:I,9,0)&gt;270,"≥9 Months",IF(VLOOKUP(A16,[2]谷仓US库龄!A:I,9,0)&gt;180,"≥6 Months",IF(VLOOKUP(A16,[2]谷仓US库龄!A:I,9,0)&gt;90,"≥3 Months","正常")))))</f>
        <v>正常</v>
      </c>
      <c r="K16" s="24">
        <f>IF(VLOOKUP(A16,[2]谷仓US!A:P,12,0)=0,"",VLOOKUP(A16,[2]谷仓US!A:P,12,0))</f>
        <v>240</v>
      </c>
      <c r="L16" s="10"/>
    </row>
    <row r="17" customFormat="1" ht="15.6" spans="1:12">
      <c r="A17" s="84" t="s">
        <v>58</v>
      </c>
      <c r="B17" s="17">
        <v>1300100233</v>
      </c>
      <c r="C17" s="18" t="s">
        <v>14</v>
      </c>
      <c r="D17" s="19">
        <v>1300100233</v>
      </c>
      <c r="E17" s="20" t="s">
        <v>59</v>
      </c>
      <c r="F17" s="21" t="s">
        <v>60</v>
      </c>
      <c r="G17" s="21" t="s">
        <v>61</v>
      </c>
      <c r="H17" s="17" t="s">
        <v>62</v>
      </c>
      <c r="I17" s="22">
        <f>VLOOKUP(A17,[2]谷仓US!A:P,15,0)</f>
        <v>0</v>
      </c>
      <c r="J17" s="23" t="str">
        <f>IF(I17=0,"-",IF(VLOOKUP(A17,[2]谷仓US库龄!A:I,9,0)&gt;365,"≥1 Year",IF(VLOOKUP(A17,[2]谷仓US库龄!A:I,9,0)&gt;270,"≥9 Months",IF(VLOOKUP(A17,[2]谷仓US库龄!A:I,9,0)&gt;180,"≥6 Months",IF(VLOOKUP(A17,[2]谷仓US库龄!A:I,9,0)&gt;90,"≥3 Months","正常")))))</f>
        <v>-</v>
      </c>
      <c r="K17" s="24">
        <f>IF(VLOOKUP(A17,[2]谷仓US!A:P,12,0)=0,"",VLOOKUP(A17,[2]谷仓US!A:P,12,0))</f>
        <v>36</v>
      </c>
      <c r="L17" s="10"/>
    </row>
    <row r="18" customFormat="1" ht="15.6" spans="1:12">
      <c r="A18" s="16" t="s">
        <v>63</v>
      </c>
      <c r="B18" s="27">
        <v>1300100234</v>
      </c>
      <c r="C18" s="18" t="s">
        <v>14</v>
      </c>
      <c r="D18" s="19">
        <v>1300100234</v>
      </c>
      <c r="E18" s="20" t="str">
        <f>VLOOKUP(D18,[2]SKU!A:AK,2,0)</f>
        <v>三维扫描仪Moose Lite豪华款(4规)</v>
      </c>
      <c r="F18" s="21" t="str">
        <f>VLOOKUP(D18,[2]SKU!A:AK,8,0)</f>
        <v>三维扫描仪-JMM4</v>
      </c>
      <c r="G18" s="21" t="s">
        <v>64</v>
      </c>
      <c r="H18" s="17" t="str">
        <f>VLOOKUP(D18,[2]SKU!A:AK,26,0)</f>
        <v>JMM4</v>
      </c>
      <c r="I18" s="22">
        <f>VLOOKUP(A18,[2]谷仓US!A:P,15,0)</f>
        <v>12</v>
      </c>
      <c r="J18" s="23" t="str">
        <f>IF(I18=0,"-",IF(VLOOKUP(A18,[2]谷仓US库龄!A:I,9,0)&gt;365,"≥1 Year",IF(VLOOKUP(A18,[2]谷仓US库龄!A:I,9,0)&gt;270,"≥9 Months",IF(VLOOKUP(A18,[2]谷仓US库龄!A:I,9,0)&gt;180,"≥6 Months",IF(VLOOKUP(A18,[2]谷仓US库龄!A:I,9,0)&gt;90,"≥3 Months","正常")))))</f>
        <v>≥9 Months</v>
      </c>
      <c r="K18" s="24">
        <f>IF(VLOOKUP(A18,[2]谷仓US!A:P,12,0)=0,"",VLOOKUP(A18,[2]谷仓US!A:P,12,0))</f>
        <v>40</v>
      </c>
      <c r="L18" s="10"/>
    </row>
    <row r="19" customFormat="1" ht="15.6" spans="1:12">
      <c r="A19" s="16" t="s">
        <v>65</v>
      </c>
      <c r="B19" s="27">
        <v>1300100211</v>
      </c>
      <c r="C19" s="18" t="s">
        <v>14</v>
      </c>
      <c r="D19" s="19">
        <v>1300100211</v>
      </c>
      <c r="E19" s="20" t="str">
        <f>VLOOKUP(D19,[2]SKU!A:AK,2,0)</f>
        <v>三维扫描仪Eagle JMK1 RTK</v>
      </c>
      <c r="F19" s="21" t="str">
        <f>VLOOKUP(D19,[2]SKU!A:AK,8,0)</f>
        <v>三维扫描仪-JMK1</v>
      </c>
      <c r="G19" s="21" t="s">
        <v>66</v>
      </c>
      <c r="H19" s="17" t="str">
        <f>VLOOKUP(D19,[2]SKU!A:AK,26,0)</f>
        <v>JMK1</v>
      </c>
      <c r="I19" s="22">
        <f>VLOOKUP(A19,[2]谷仓US!A:P,15,0)</f>
        <v>12</v>
      </c>
      <c r="J19" s="23" t="str">
        <f>IF(I19=0,"-",IF(VLOOKUP(A19,[2]谷仓US库龄!A:I,9,0)&gt;365,"≥1 Year",IF(VLOOKUP(A19,[2]谷仓US库龄!A:I,9,0)&gt;270,"≥9 Months",IF(VLOOKUP(A19,[2]谷仓US库龄!A:I,9,0)&gt;180,"≥6 Months",IF(VLOOKUP(A19,[2]谷仓US库龄!A:I,9,0)&gt;90,"≥3 Months","正常")))))</f>
        <v>正常</v>
      </c>
      <c r="K19" s="24">
        <f>IF(VLOOKUP(A19,[2]谷仓US!A:P,12,0)=0,"",VLOOKUP(A19,[2]谷仓US!A:P,12,0))</f>
        <v>16</v>
      </c>
      <c r="L19" s="10"/>
    </row>
    <row r="20" customFormat="1" ht="15.6" spans="1:12">
      <c r="A20" s="16" t="s">
        <v>67</v>
      </c>
      <c r="B20" s="27">
        <v>1300100212</v>
      </c>
      <c r="C20" s="18" t="s">
        <v>14</v>
      </c>
      <c r="D20" s="19">
        <v>1300100212</v>
      </c>
      <c r="E20" s="20" t="str">
        <f>VLOOKUP(D20,[2]SKU!A:AK,2,0)</f>
        <v>三维扫描仪Eagle JMK2 RTK</v>
      </c>
      <c r="F20" s="21" t="str">
        <f>VLOOKUP(D20,[2]SKU!A:AK,8,0)</f>
        <v>三维扫描仪-JMK2</v>
      </c>
      <c r="G20" s="21" t="s">
        <v>68</v>
      </c>
      <c r="H20" s="17" t="str">
        <f>VLOOKUP(D20,[2]SKU!A:AK,26,0)</f>
        <v>JMK2</v>
      </c>
      <c r="I20" s="22">
        <f>VLOOKUP(A20,[2]谷仓US!A:P,15,0)</f>
        <v>19</v>
      </c>
      <c r="J20" s="23" t="str">
        <f>IF(I20=0,"-",IF(VLOOKUP(A20,[2]谷仓US库龄!A:I,9,0)&gt;365,"≥1 Year",IF(VLOOKUP(A20,[2]谷仓US库龄!A:I,9,0)&gt;270,"≥9 Months",IF(VLOOKUP(A20,[2]谷仓US库龄!A:I,9,0)&gt;180,"≥6 Months",IF(VLOOKUP(A20,[2]谷仓US库龄!A:I,9,0)&gt;90,"≥3 Months","正常")))))</f>
        <v>≥3 Months</v>
      </c>
      <c r="K20" s="24">
        <f>IF(VLOOKUP(A20,[2]谷仓US!A:P,12,0)=0,"",VLOOKUP(A20,[2]谷仓US!A:P,12,0))</f>
        <v>12</v>
      </c>
      <c r="L20" s="10"/>
    </row>
    <row r="21" customFormat="1" ht="15.6" spans="1:12">
      <c r="A21" s="16" t="s">
        <v>69</v>
      </c>
      <c r="B21" s="27">
        <v>1300100205</v>
      </c>
      <c r="C21" s="18" t="s">
        <v>14</v>
      </c>
      <c r="D21" s="19">
        <v>1300100205</v>
      </c>
      <c r="E21" s="20" t="str">
        <f>VLOOKUP(D21,[2]SKU!A:AK,2,0)</f>
        <v>钢化膜套装</v>
      </c>
      <c r="F21" s="21" t="str">
        <f>VLOOKUP(D21,[2]SKU!A:AK,8,0)</f>
        <v>三维扫描仪备品备件</v>
      </c>
      <c r="G21" s="21" t="s">
        <v>15</v>
      </c>
      <c r="H21" s="17" t="str">
        <f>VLOOKUP(D21,[2]SKU!A:AK,26,0)</f>
        <v>-</v>
      </c>
      <c r="I21" s="22">
        <f>VLOOKUP(A21,[2]谷仓US!A:P,15,0)</f>
        <v>33</v>
      </c>
      <c r="J21" s="23" t="str">
        <f>IF(I21=0,"-",IF(VLOOKUP(A21,[2]谷仓US库龄!A:I,9,0)&gt;365,"≥1 Year",IF(VLOOKUP(A21,[2]谷仓US库龄!A:I,9,0)&gt;270,"≥9 Months",IF(VLOOKUP(A21,[2]谷仓US库龄!A:I,9,0)&gt;180,"≥6 Months",IF(VLOOKUP(A21,[2]谷仓US库龄!A:I,9,0)&gt;90,"≥3 Months","正常")))))</f>
        <v>≥1 Year</v>
      </c>
      <c r="K21" s="24" t="str">
        <f>IF(VLOOKUP(A21,[2]谷仓US!A:P,12,0)=0,"",VLOOKUP(A21,[2]谷仓US!A:P,12,0))</f>
        <v/>
      </c>
      <c r="L21" s="10"/>
    </row>
    <row r="22" customFormat="1" ht="15.6" spans="1:12">
      <c r="A22" s="16" t="s">
        <v>70</v>
      </c>
      <c r="B22" s="27">
        <v>1050100021</v>
      </c>
      <c r="C22" s="18" t="s">
        <v>14</v>
      </c>
      <c r="D22" s="19">
        <v>1050100021</v>
      </c>
      <c r="E22" s="20" t="str">
        <f>VLOOKUP(D22,[2]SKU!A:AK,2,0)</f>
        <v>三脚架</v>
      </c>
      <c r="F22" s="21" t="str">
        <f>VLOOKUP(D22,[2]SKU!A:AK,8,0)</f>
        <v>三维扫描仪备品备件</v>
      </c>
      <c r="G22" s="21" t="s">
        <v>15</v>
      </c>
      <c r="H22" s="17" t="str">
        <f>VLOOKUP(D22,[2]SKU!A:AK,26,0)</f>
        <v>-</v>
      </c>
      <c r="I22" s="22">
        <f>VLOOKUP(A22,[2]谷仓US!A:P,15,0)</f>
        <v>15</v>
      </c>
      <c r="J22" s="23" t="str">
        <f>IF(I22=0,"-",IF(VLOOKUP(A22,[2]谷仓US库龄!A:I,9,0)&gt;365,"≥1 Year",IF(VLOOKUP(A22,[2]谷仓US库龄!A:I,9,0)&gt;270,"≥9 Months",IF(VLOOKUP(A22,[2]谷仓US库龄!A:I,9,0)&gt;180,"≥6 Months",IF(VLOOKUP(A22,[2]谷仓US库龄!A:I,9,0)&gt;90,"≥3 Months","正常")))))</f>
        <v>≥9 Months</v>
      </c>
      <c r="K22" s="24" t="str">
        <f>IF(VLOOKUP(A22,[2]谷仓US!A:P,12,0)=0,"",VLOOKUP(A22,[2]谷仓US!A:P,12,0))</f>
        <v/>
      </c>
      <c r="L22" s="10"/>
    </row>
    <row r="23" customFormat="1" ht="15.6" spans="1:12">
      <c r="A23" s="16" t="s">
        <v>71</v>
      </c>
      <c r="B23" s="27">
        <v>1300100208</v>
      </c>
      <c r="C23" s="18" t="s">
        <v>14</v>
      </c>
      <c r="D23" s="19">
        <v>1300100208</v>
      </c>
      <c r="E23" s="20" t="s">
        <v>72</v>
      </c>
      <c r="F23" s="21" t="str">
        <f>VLOOKUP(D23,[2]SKU!A:AK,8,0)</f>
        <v>三维扫描仪备品备件</v>
      </c>
      <c r="G23" s="21" t="s">
        <v>15</v>
      </c>
      <c r="H23" s="17" t="str">
        <f>VLOOKUP(D23,[2]SKU!A:AK,26,0)</f>
        <v>-</v>
      </c>
      <c r="I23" s="22">
        <f>VLOOKUP(A23,[2]谷仓US!A:P,15,0)</f>
        <v>0</v>
      </c>
      <c r="J23" s="23" t="str">
        <f>IF(I23=0,"-",IF(VLOOKUP(A23,[2]谷仓US库龄!A:I,9,0)&gt;365,"≥1 Year",IF(VLOOKUP(A23,[2]谷仓US库龄!A:I,9,0)&gt;270,"≥9 Months",IF(VLOOKUP(A23,[2]谷仓US库龄!A:I,9,0)&gt;180,"≥6 Months",IF(VLOOKUP(A23,[2]谷仓US库龄!A:I,9,0)&gt;90,"≥3 Months","正常")))))</f>
        <v>-</v>
      </c>
      <c r="K23" s="24" t="str">
        <f>IF(VLOOKUP(A23,[2]谷仓US!A:P,12,0)=0,"",VLOOKUP(A23,[2]谷仓US!A:P,12,0))</f>
        <v/>
      </c>
      <c r="L23" s="10"/>
    </row>
    <row r="24" customFormat="1" ht="15.6" spans="1:12">
      <c r="A24" s="16" t="s">
        <v>73</v>
      </c>
      <c r="B24" s="27">
        <v>1021900168</v>
      </c>
      <c r="C24" s="18" t="s">
        <v>14</v>
      </c>
      <c r="D24" s="19">
        <v>1021900168</v>
      </c>
      <c r="E24" s="20" t="str">
        <f>VLOOKUP(D24,[2]SKU!A:AK,2,0)</f>
        <v>Moose一体线缆</v>
      </c>
      <c r="F24" s="21" t="str">
        <f>VLOOKUP(D24,[2]SKU!A:AK,8,0)</f>
        <v>三维扫描仪备品备件</v>
      </c>
      <c r="G24" s="21" t="s">
        <v>15</v>
      </c>
      <c r="H24" s="17" t="str">
        <f>VLOOKUP(D24,[2]SKU!A:AK,26,0)</f>
        <v>-</v>
      </c>
      <c r="I24" s="22">
        <f>VLOOKUP(A24,[2]谷仓US!A:P,15,0)</f>
        <v>49</v>
      </c>
      <c r="J24" s="23" t="str">
        <f>IF(I24=0,"-",IF(VLOOKUP(A24,[2]谷仓US库龄!A:I,9,0)&gt;365,"≥1 Year",IF(VLOOKUP(A24,[2]谷仓US库龄!A:I,9,0)&gt;270,"≥9 Months",IF(VLOOKUP(A24,[2]谷仓US库龄!A:I,9,0)&gt;180,"≥6 Months",IF(VLOOKUP(A24,[2]谷仓US库龄!A:I,9,0)&gt;90,"≥3 Months","正常")))))</f>
        <v>≥1 Year</v>
      </c>
      <c r="K24" s="24" t="str">
        <f>IF(VLOOKUP(A24,[2]谷仓US!A:P,12,0)=0,"",VLOOKUP(A24,[2]谷仓US!A:P,12,0))</f>
        <v/>
      </c>
      <c r="L24" s="10"/>
    </row>
    <row r="25" customFormat="1" ht="15.6" spans="1:12">
      <c r="A25" s="16" t="s">
        <v>74</v>
      </c>
      <c r="B25" s="27">
        <v>1021900094</v>
      </c>
      <c r="C25" s="18" t="s">
        <v>14</v>
      </c>
      <c r="D25" s="19">
        <v>1021900094</v>
      </c>
      <c r="E25" s="20" t="str">
        <f>VLOOKUP(D25,[2]SKU!A:AK,2,0)</f>
        <v>Seal扫描仪订制一体线缆</v>
      </c>
      <c r="F25" s="21" t="str">
        <f>VLOOKUP(D25,[2]SKU!A:AK,8,0)</f>
        <v>三维扫描仪备品备件</v>
      </c>
      <c r="G25" s="21" t="s">
        <v>15</v>
      </c>
      <c r="H25" s="17" t="str">
        <f>VLOOKUP(D25,[2]SKU!A:AK,26,0)</f>
        <v>-</v>
      </c>
      <c r="I25" s="22">
        <f>VLOOKUP(A25,[2]谷仓US!A:P,15,0)</f>
        <v>7</v>
      </c>
      <c r="J25" s="23" t="str">
        <f>IF(I25=0,"-",IF(VLOOKUP(A25,[2]谷仓US库龄!A:I,9,0)&gt;365,"≥1 Year",IF(VLOOKUP(A25,[2]谷仓US库龄!A:I,9,0)&gt;270,"≥9 Months",IF(VLOOKUP(A25,[2]谷仓US库龄!A:I,9,0)&gt;180,"≥6 Months",IF(VLOOKUP(A25,[2]谷仓US库龄!A:I,9,0)&gt;90,"≥3 Months","正常")))))</f>
        <v>≥1 Year</v>
      </c>
      <c r="K25" s="24" t="str">
        <f>IF(VLOOKUP(A25,[2]谷仓US!A:P,12,0)=0,"",VLOOKUP(A25,[2]谷仓US!A:P,12,0))</f>
        <v/>
      </c>
      <c r="L25" s="10"/>
    </row>
    <row r="26" customFormat="1" ht="15.6" spans="1:12">
      <c r="A26" s="16" t="s">
        <v>75</v>
      </c>
      <c r="B26" s="27">
        <v>1040600057</v>
      </c>
      <c r="C26" s="18" t="s">
        <v>14</v>
      </c>
      <c r="D26" s="19">
        <v>1040600057</v>
      </c>
      <c r="E26" s="20" t="str">
        <f>VLOOKUP(D26,[2]SKU!A:AK,2,0)</f>
        <v>PD电源</v>
      </c>
      <c r="F26" s="21" t="str">
        <f>VLOOKUP(D26,[2]SKU!A:AK,8,0)</f>
        <v>三维扫描仪备品备件</v>
      </c>
      <c r="G26" s="21" t="s">
        <v>15</v>
      </c>
      <c r="H26" s="17" t="str">
        <f>VLOOKUP(D26,[2]SKU!A:AK,26,0)</f>
        <v>RH-PD65W-1</v>
      </c>
      <c r="I26" s="22">
        <f>VLOOKUP(A26,[2]谷仓US!A:P,15,0)</f>
        <v>14</v>
      </c>
      <c r="J26" s="23" t="str">
        <f>IF(I26=0,"-",IF(VLOOKUP(A26,[2]谷仓US库龄!A:I,9,0)&gt;365,"≥1 Year",IF(VLOOKUP(A26,[2]谷仓US库龄!A:I,9,0)&gt;270,"≥9 Months",IF(VLOOKUP(A26,[2]谷仓US库龄!A:I,9,0)&gt;180,"≥6 Months",IF(VLOOKUP(A26,[2]谷仓US库龄!A:I,9,0)&gt;90,"≥3 Months","正常")))))</f>
        <v>≥1 Year</v>
      </c>
      <c r="K26" s="24" t="str">
        <f>IF(VLOOKUP(A26,[2]谷仓US!A:P,12,0)=0,"",VLOOKUP(A26,[2]谷仓US!A:P,12,0))</f>
        <v/>
      </c>
      <c r="L26" s="10"/>
    </row>
    <row r="27" customFormat="1" ht="15.6" spans="1:12">
      <c r="A27" s="16" t="s">
        <v>76</v>
      </c>
      <c r="B27" s="27">
        <v>1300100209</v>
      </c>
      <c r="C27" s="18" t="s">
        <v>14</v>
      </c>
      <c r="D27" s="19">
        <v>1300100209</v>
      </c>
      <c r="E27" s="20" t="str">
        <f>VLOOKUP(D27,[2]SKU!A:AK,2,0)</f>
        <v>自行车支架套装</v>
      </c>
      <c r="F27" s="21" t="str">
        <f>VLOOKUP(D27,[2]SKU!A:AK,8,0)</f>
        <v>三维扫描仪备品备件</v>
      </c>
      <c r="G27" s="21" t="s">
        <v>15</v>
      </c>
      <c r="H27" s="17" t="str">
        <f>VLOOKUP(D27,[2]SKU!A:AK,26,0)</f>
        <v>-</v>
      </c>
      <c r="I27" s="22">
        <f>VLOOKUP(A27,[2]谷仓US!A:P,15,0)</f>
        <v>0</v>
      </c>
      <c r="J27" s="23" t="str">
        <f>IF(I27=0,"-",IF(VLOOKUP(A27,[2]谷仓US库龄!A:I,9,0)&gt;365,"≥1 Year",IF(VLOOKUP(A27,[2]谷仓US库龄!A:I,9,0)&gt;270,"≥9 Months",IF(VLOOKUP(A27,[2]谷仓US库龄!A:I,9,0)&gt;180,"≥6 Months",IF(VLOOKUP(A27,[2]谷仓US库龄!A:I,9,0)&gt;90,"≥3 Months","正常")))))</f>
        <v>-</v>
      </c>
      <c r="K27" s="24">
        <f>IF(VLOOKUP(A27,[2]谷仓US!A:P,12,0)=0,"",VLOOKUP(A27,[2]谷仓US!A:P,12,0))</f>
        <v>33</v>
      </c>
      <c r="L27" s="10"/>
    </row>
    <row r="28" customFormat="1" ht="15.6" spans="1:12">
      <c r="A28" s="16" t="s">
        <v>77</v>
      </c>
      <c r="B28" s="27">
        <v>1300100207</v>
      </c>
      <c r="C28" s="18" t="s">
        <v>14</v>
      </c>
      <c r="D28" s="19">
        <v>1300100207</v>
      </c>
      <c r="E28" s="20" t="str">
        <f>VLOOKUP(D28,[2]SKU!A:AK,2,0)</f>
        <v>车顶吸盘安装套装</v>
      </c>
      <c r="F28" s="21" t="str">
        <f>VLOOKUP(D28,[2]SKU!A:AK,8,0)</f>
        <v>三维扫描仪备品备件</v>
      </c>
      <c r="G28" s="21" t="s">
        <v>15</v>
      </c>
      <c r="H28" s="17" t="str">
        <f>VLOOKUP(D28,[2]SKU!A:AK,26,0)</f>
        <v>-</v>
      </c>
      <c r="I28" s="22">
        <f>VLOOKUP(A28,[2]谷仓US!A:P,15,0)</f>
        <v>19</v>
      </c>
      <c r="J28" s="23" t="str">
        <f>IF(I28=0,"-",IF(VLOOKUP(A28,[2]谷仓US库龄!A:I,9,0)&gt;365,"≥1 Year",IF(VLOOKUP(A28,[2]谷仓US库龄!A:I,9,0)&gt;270,"≥9 Months",IF(VLOOKUP(A28,[2]谷仓US库龄!A:I,9,0)&gt;180,"≥6 Months",IF(VLOOKUP(A28,[2]谷仓US库龄!A:I,9,0)&gt;90,"≥3 Months","正常")))))</f>
        <v>正常</v>
      </c>
      <c r="K28" s="24" t="str">
        <f>IF(VLOOKUP(A28,[2]谷仓US!A:P,12,0)=0,"",VLOOKUP(A28,[2]谷仓US!A:P,12,0))</f>
        <v/>
      </c>
      <c r="L28" s="10"/>
    </row>
    <row r="29" customFormat="1" ht="15.6" spans="1:12">
      <c r="A29" s="84" t="s">
        <v>78</v>
      </c>
      <c r="B29" s="27">
        <v>1300100246</v>
      </c>
      <c r="C29" s="18" t="s">
        <v>14</v>
      </c>
      <c r="D29" s="19">
        <v>1300100246</v>
      </c>
      <c r="E29" s="20" t="s">
        <v>79</v>
      </c>
      <c r="F29" s="21" t="s">
        <v>80</v>
      </c>
      <c r="G29" s="21" t="s">
        <v>81</v>
      </c>
      <c r="H29" s="17" t="s">
        <v>82</v>
      </c>
      <c r="I29" s="22">
        <f>VLOOKUP(A29,[2]谷仓US!A:P,15,0)</f>
        <v>31</v>
      </c>
      <c r="J29" s="23" t="str">
        <f>IF(I29=0,"-",IF(VLOOKUP(A29,[2]谷仓US库龄!A:I,9,0)&gt;365,"≥1 Year",IF(VLOOKUP(A29,[2]谷仓US库龄!A:I,9,0)&gt;270,"≥9 Months",IF(VLOOKUP(A29,[2]谷仓US库龄!A:I,9,0)&gt;180,"≥6 Months",IF(VLOOKUP(A29,[2]谷仓US库龄!A:I,9,0)&gt;90,"≥3 Months","正常")))))</f>
        <v>≥3 Months</v>
      </c>
      <c r="K29" s="24" t="str">
        <f>IF(VLOOKUP(A29,[2]谷仓US!A:P,12,0)=0,"",VLOOKUP(A29,[2]谷仓US!A:P,12,0))</f>
        <v/>
      </c>
      <c r="L29" s="10"/>
    </row>
    <row r="30" customFormat="1" ht="15.6" spans="1:12">
      <c r="A30" s="84" t="s">
        <v>83</v>
      </c>
      <c r="B30" s="27">
        <v>1300100240</v>
      </c>
      <c r="C30" s="18" t="s">
        <v>14</v>
      </c>
      <c r="D30" s="19">
        <v>1300100240</v>
      </c>
      <c r="E30" s="20" t="s">
        <v>84</v>
      </c>
      <c r="F30" s="21" t="s">
        <v>80</v>
      </c>
      <c r="G30" s="21" t="s">
        <v>85</v>
      </c>
      <c r="H30" s="17" t="s">
        <v>82</v>
      </c>
      <c r="I30" s="22">
        <f>VLOOKUP(A30,[2]谷仓US!A:P,15,0)</f>
        <v>109</v>
      </c>
      <c r="J30" s="23" t="str">
        <f>IF(I30=0,"-",IF(VLOOKUP(A30,[2]谷仓US库龄!A:I,9,0)&gt;365,"≥1 Year",IF(VLOOKUP(A30,[2]谷仓US库龄!A:I,9,0)&gt;270,"≥9 Months",IF(VLOOKUP(A30,[2]谷仓US库龄!A:I,9,0)&gt;180,"≥6 Months",IF(VLOOKUP(A30,[2]谷仓US库龄!A:I,9,0)&gt;90,"≥3 Months","正常")))))</f>
        <v>≥3 Months</v>
      </c>
      <c r="K30" s="24" t="str">
        <f>IF(VLOOKUP(A30,[2]谷仓US!A:P,12,0)=0,"",VLOOKUP(A30,[2]谷仓US!A:P,12,0))</f>
        <v/>
      </c>
      <c r="L30" s="10"/>
    </row>
    <row r="31" customFormat="1" ht="15.6" spans="1:12">
      <c r="A31" s="16" t="s">
        <v>86</v>
      </c>
      <c r="B31" s="27">
        <v>1300100249</v>
      </c>
      <c r="C31" s="18" t="s">
        <v>14</v>
      </c>
      <c r="D31" s="19">
        <v>1300100249</v>
      </c>
      <c r="E31" s="20" t="s">
        <v>87</v>
      </c>
      <c r="F31" s="21" t="s">
        <v>28</v>
      </c>
      <c r="G31" s="21" t="s">
        <v>15</v>
      </c>
      <c r="H31" s="17" t="s">
        <v>15</v>
      </c>
      <c r="I31" s="22">
        <f>VLOOKUP(A31,[2]谷仓US!A:P,15,0)</f>
        <v>18</v>
      </c>
      <c r="J31" s="23" t="str">
        <f>IF(I31=0,"-",IF(VLOOKUP(A31,[2]谷仓US库龄!A:I,9,0)&gt;365,"≥1 Year",IF(VLOOKUP(A31,[2]谷仓US库龄!A:I,9,0)&gt;270,"≥9 Months",IF(VLOOKUP(A31,[2]谷仓US库龄!A:I,9,0)&gt;180,"≥6 Months",IF(VLOOKUP(A31,[2]谷仓US库龄!A:I,9,0)&gt;90,"≥3 Months","正常")))))</f>
        <v>≥3 Months</v>
      </c>
      <c r="K31" s="24" t="str">
        <f>IF(VLOOKUP(A31,[2]谷仓US!A:P,12,0)=0,"",VLOOKUP(A31,[2]谷仓US!A:P,12,0))</f>
        <v/>
      </c>
      <c r="L31" s="10"/>
    </row>
    <row r="32" customFormat="1" ht="15.6" spans="1:12">
      <c r="A32" s="16" t="s">
        <v>88</v>
      </c>
      <c r="B32" s="27">
        <v>1300100250</v>
      </c>
      <c r="C32" s="18" t="s">
        <v>14</v>
      </c>
      <c r="D32" s="19">
        <v>1300100250</v>
      </c>
      <c r="E32" s="20" t="s">
        <v>89</v>
      </c>
      <c r="F32" s="21" t="s">
        <v>28</v>
      </c>
      <c r="G32" s="21" t="s">
        <v>15</v>
      </c>
      <c r="H32" s="17" t="s">
        <v>15</v>
      </c>
      <c r="I32" s="22">
        <f>VLOOKUP(A32,[2]谷仓US!A:P,15,0)</f>
        <v>35</v>
      </c>
      <c r="J32" s="23" t="str">
        <f>IF(I32=0,"-",IF(VLOOKUP(A32,[2]谷仓US库龄!A:I,9,0)&gt;365,"≥1 Year",IF(VLOOKUP(A32,[2]谷仓US库龄!A:I,9,0)&gt;270,"≥9 Months",IF(VLOOKUP(A32,[2]谷仓US库龄!A:I,9,0)&gt;180,"≥6 Months",IF(VLOOKUP(A32,[2]谷仓US库龄!A:I,9,0)&gt;90,"≥3 Months","正常")))))</f>
        <v>≥3 Months</v>
      </c>
      <c r="K32" s="24" t="str">
        <f>IF(VLOOKUP(A32,[2]谷仓US!A:P,12,0)=0,"",VLOOKUP(A32,[2]谷仓US!A:P,12,0))</f>
        <v/>
      </c>
      <c r="L32" s="10"/>
    </row>
    <row r="33" customFormat="1" ht="15.6" spans="1:13">
      <c r="A33" s="16" t="s">
        <v>90</v>
      </c>
      <c r="B33" s="27" t="s">
        <v>91</v>
      </c>
      <c r="C33" s="18" t="s">
        <v>14</v>
      </c>
      <c r="D33" s="19" t="s">
        <v>91</v>
      </c>
      <c r="E33" s="20" t="s">
        <v>92</v>
      </c>
      <c r="F33" s="21" t="s">
        <v>28</v>
      </c>
      <c r="G33" s="21" t="s">
        <v>92</v>
      </c>
      <c r="H33" s="17" t="s">
        <v>15</v>
      </c>
      <c r="I33" s="22">
        <f>VLOOKUP(A33,[2]谷仓US!A:P,15,0)</f>
        <v>10</v>
      </c>
      <c r="J33" s="23" t="str">
        <f>IF(I33=0,"-",IF(VLOOKUP(A33,[2]谷仓US库龄!A:I,9,0)&gt;365,"≥1 Year",IF(VLOOKUP(A33,[2]谷仓US库龄!A:I,9,0)&gt;270,"≥9 Months",IF(VLOOKUP(A33,[2]谷仓US库龄!A:I,9,0)&gt;180,"≥6 Months",IF(VLOOKUP(A33,[2]谷仓US库龄!A:I,9,0)&gt;90,"≥3 Months","正常")))))</f>
        <v>正常</v>
      </c>
      <c r="K33" s="24" t="str">
        <f>IF(VLOOKUP(A33,[2]谷仓US!A:P,12,0)=0,"",VLOOKUP(A33,[2]谷仓US!A:P,12,0))</f>
        <v/>
      </c>
      <c r="L33" s="10"/>
    </row>
    <row r="34" customFormat="1" ht="15.6" spans="1:13">
      <c r="A34" s="16" t="s">
        <v>93</v>
      </c>
      <c r="B34" s="27">
        <v>1300100241</v>
      </c>
      <c r="C34" s="18" t="s">
        <v>14</v>
      </c>
      <c r="D34" s="19">
        <v>1300100241</v>
      </c>
      <c r="E34" s="20" t="s">
        <v>94</v>
      </c>
      <c r="F34" s="21" t="s">
        <v>95</v>
      </c>
      <c r="G34" s="21" t="s">
        <v>96</v>
      </c>
      <c r="H34" s="17" t="s">
        <v>96</v>
      </c>
      <c r="I34" s="22">
        <f>VLOOKUP(A34,[2]谷仓US!A:P,15,0)</f>
        <v>0</v>
      </c>
      <c r="J34" s="23" t="str">
        <f>IF(I34=0,"-",IF(VLOOKUP(A34,[2]谷仓US库龄!A:I,9,0)&gt;365,"≥1 Year",IF(VLOOKUP(A34,[2]谷仓US库龄!A:I,9,0)&gt;270,"≥9 Months",IF(VLOOKUP(A34,[2]谷仓US库龄!A:I,9,0)&gt;180,"≥6 Months",IF(VLOOKUP(A34,[2]谷仓US库龄!A:I,9,0)&gt;90,"≥3 Months","正常")))))</f>
        <v>-</v>
      </c>
      <c r="K34" s="24" t="str">
        <f>IF(VLOOKUP(A34,[2]谷仓US!A:P,12,0)=0,"",VLOOKUP(A34,[2]谷仓US!A:P,12,0))</f>
        <v/>
      </c>
      <c r="L34" s="10"/>
    </row>
    <row r="35" customFormat="1" ht="15.6" spans="1:13">
      <c r="A35" s="16" t="s">
        <v>97</v>
      </c>
      <c r="B35" s="27" t="s">
        <v>98</v>
      </c>
      <c r="C35" s="18" t="s">
        <v>14</v>
      </c>
      <c r="D35" s="19" t="s">
        <v>98</v>
      </c>
      <c r="E35" s="20" t="s">
        <v>99</v>
      </c>
      <c r="F35" s="21" t="s">
        <v>100</v>
      </c>
      <c r="G35" s="21" t="s">
        <v>101</v>
      </c>
      <c r="H35" s="17" t="s">
        <v>102</v>
      </c>
      <c r="I35" s="22">
        <f>VLOOKUP(A35,[2]谷仓US!A:P,15,0)</f>
        <v>27</v>
      </c>
      <c r="J35" s="23" t="str">
        <f>IF(I35=0,"-",IF(VLOOKUP(A35,[2]谷仓US库龄!A:I,9,0)&gt;365,"≥1 Year",IF(VLOOKUP(A35,[2]谷仓US库龄!A:I,9,0)&gt;270,"≥9 Months",IF(VLOOKUP(A35,[2]谷仓US库龄!A:I,9,0)&gt;180,"≥6 Months",IF(VLOOKUP(A35,[2]谷仓US库龄!A:I,9,0)&gt;90,"≥3 Months","正常")))))</f>
        <v>正常</v>
      </c>
      <c r="K35" s="24" t="str">
        <f>IF(VLOOKUP(A35,[2]谷仓US!A:P,12,0)=0,"",VLOOKUP(A35,[2]谷仓US!A:P,12,0))</f>
        <v/>
      </c>
      <c r="L35" s="10"/>
    </row>
    <row r="36" customFormat="1" ht="15.6" spans="1:13">
      <c r="A36" s="16" t="s">
        <v>103</v>
      </c>
      <c r="B36" s="27" t="s">
        <v>104</v>
      </c>
      <c r="C36" s="18" t="s">
        <v>14</v>
      </c>
      <c r="D36" s="19" t="s">
        <v>104</v>
      </c>
      <c r="E36" s="20" t="s">
        <v>105</v>
      </c>
      <c r="F36" s="21" t="s">
        <v>100</v>
      </c>
      <c r="G36" s="21" t="s">
        <v>106</v>
      </c>
      <c r="H36" s="17" t="s">
        <v>102</v>
      </c>
      <c r="I36" s="22">
        <f>VLOOKUP(A36,[2]谷仓US!A:P,15,0)</f>
        <v>21</v>
      </c>
      <c r="J36" s="23" t="str">
        <f>IF(I36=0,"-",IF(VLOOKUP(A36,[2]谷仓US库龄!A:I,9,0)&gt;365,"≥1 Year",IF(VLOOKUP(A36,[2]谷仓US库龄!A:I,9,0)&gt;270,"≥9 Months",IF(VLOOKUP(A36,[2]谷仓US库龄!A:I,9,0)&gt;180,"≥6 Months",IF(VLOOKUP(A36,[2]谷仓US库龄!A:I,9,0)&gt;90,"≥3 Months","正常")))))</f>
        <v>正常</v>
      </c>
      <c r="K36" s="24" t="str">
        <f>IF(VLOOKUP(A36,[2]谷仓US!A:P,12,0)=0,"",VLOOKUP(A36,[2]谷仓US!A:P,12,0))</f>
        <v/>
      </c>
      <c r="L36" s="10"/>
    </row>
    <row r="37" customFormat="1" ht="15.6" spans="1:13">
      <c r="A37" s="16" t="s">
        <v>107</v>
      </c>
      <c r="B37" s="27" t="s">
        <v>108</v>
      </c>
      <c r="C37" s="18" t="s">
        <v>14</v>
      </c>
      <c r="D37" s="19" t="s">
        <v>108</v>
      </c>
      <c r="E37" s="20" t="s">
        <v>109</v>
      </c>
      <c r="F37" s="21" t="s">
        <v>110</v>
      </c>
      <c r="G37" s="21" t="s">
        <v>111</v>
      </c>
      <c r="H37" s="17" t="s">
        <v>111</v>
      </c>
      <c r="I37" s="22">
        <f>VLOOKUP(A37,[2]谷仓US!A:P,15,0)</f>
        <v>0</v>
      </c>
      <c r="J37" s="23" t="str">
        <f>IF(I37=0,"-",IF(VLOOKUP(A37,[2]谷仓US库龄!A:I,9,0)&gt;365,"≥1 Year",IF(VLOOKUP(A37,[2]谷仓US库龄!A:I,9,0)&gt;270,"≥9 Months",IF(VLOOKUP(A37,[2]谷仓US库龄!A:I,9,0)&gt;180,"≥6 Months",IF(VLOOKUP(A37,[2]谷仓US库龄!A:I,9,0)&gt;90,"≥3 Months","正常")))))</f>
        <v>-</v>
      </c>
      <c r="K37" s="24" t="str">
        <f>IF(VLOOKUP(A37,[2]谷仓US!A:P,12,0)=0,"",VLOOKUP(A37,[2]谷仓US!A:P,12,0))</f>
        <v/>
      </c>
      <c r="L37" s="10"/>
    </row>
    <row r="38" customFormat="1" ht="15.6" spans="1:13">
      <c r="A38" s="16" t="s">
        <v>112</v>
      </c>
      <c r="B38" s="27" t="s">
        <v>113</v>
      </c>
      <c r="C38" s="18" t="s">
        <v>14</v>
      </c>
      <c r="D38" s="19" t="s">
        <v>113</v>
      </c>
      <c r="E38" s="20" t="s">
        <v>114</v>
      </c>
      <c r="F38" s="21" t="s">
        <v>115</v>
      </c>
      <c r="G38" s="21" t="s">
        <v>116</v>
      </c>
      <c r="H38" s="17" t="s">
        <v>117</v>
      </c>
      <c r="I38" s="22">
        <f>VLOOKUP(A38,[2]谷仓US!A:P,15,0)</f>
        <v>86</v>
      </c>
      <c r="J38" s="23" t="str">
        <f>IF(I38=0,"-",IF(VLOOKUP(A38,[2]谷仓US库龄!A:I,9,0)&gt;365,"≥1 Year",IF(VLOOKUP(A38,[2]谷仓US库龄!A:I,9,0)&gt;270,"≥9 Months",IF(VLOOKUP(A38,[2]谷仓US库龄!A:I,9,0)&gt;180,"≥6 Months",IF(VLOOKUP(A38,[2]谷仓US库龄!A:I,9,0)&gt;90,"≥3 Months","正常")))))</f>
        <v>正常</v>
      </c>
      <c r="K38" s="24">
        <f>IF(VLOOKUP(A38,[2]谷仓US!A:P,12,0)=0,"",VLOOKUP(A38,[2]谷仓US!A:P,12,0))</f>
        <v>200</v>
      </c>
      <c r="L38" s="10"/>
    </row>
    <row r="39" customFormat="1" ht="15.6" spans="1:13">
      <c r="A39" s="16" t="s">
        <v>118</v>
      </c>
      <c r="B39" s="27" t="s">
        <v>119</v>
      </c>
      <c r="C39" s="18" t="s">
        <v>14</v>
      </c>
      <c r="D39" s="19" t="s">
        <v>119</v>
      </c>
      <c r="E39" s="20" t="s">
        <v>120</v>
      </c>
      <c r="F39" s="21" t="s">
        <v>28</v>
      </c>
      <c r="G39" s="21" t="s">
        <v>15</v>
      </c>
      <c r="H39" s="17" t="s">
        <v>15</v>
      </c>
      <c r="I39" s="22">
        <f>VLOOKUP(A39,[2]谷仓US!A:P,15,0)</f>
        <v>32</v>
      </c>
      <c r="J39" s="23" t="str">
        <f>IF(I39=0,"-",IF(VLOOKUP(A39,[2]谷仓US库龄!A:I,9,0)&gt;365,"≥1 Year",IF(VLOOKUP(A39,[2]谷仓US库龄!A:I,9,0)&gt;270,"≥9 Months",IF(VLOOKUP(A39,[2]谷仓US库龄!A:I,9,0)&gt;180,"≥6 Months",IF(VLOOKUP(A39,[2]谷仓US库龄!A:I,9,0)&gt;90,"≥3 Months","正常")))))</f>
        <v>正常</v>
      </c>
      <c r="K39" s="24">
        <f>IF(VLOOKUP(A39,[2]谷仓US!A:P,12,0)=0,"",VLOOKUP(A39,[2]谷仓US!A:P,12,0))</f>
        <v>26</v>
      </c>
      <c r="L39" s="10"/>
    </row>
    <row r="40" customFormat="1" ht="15.6" spans="1:13">
      <c r="A40" s="85" t="s">
        <v>121</v>
      </c>
      <c r="B40" s="29">
        <v>1300100111</v>
      </c>
      <c r="C40" s="30" t="s">
        <v>122</v>
      </c>
      <c r="D40" s="30">
        <v>1300100111</v>
      </c>
      <c r="E40" s="31" t="str">
        <f>VLOOKUP(D40,[2]SKU!A:AK,2,0)</f>
        <v>三维扫描仪Lynx基础款(欧规)</v>
      </c>
      <c r="F40" s="32" t="str">
        <f>VLOOKUP(D40,[2]SKU!A:AK,8,0)</f>
        <v>三维扫描仪-JML1</v>
      </c>
      <c r="G40" s="32" t="s">
        <v>123</v>
      </c>
      <c r="H40" s="29" t="str">
        <f>VLOOKUP(D40,[2]SKU!A:AK,26,0)</f>
        <v>JML1</v>
      </c>
      <c r="I40" s="22">
        <f>VLOOKUP(A40,[2]谷仓DE!A:Q,15,0)</f>
        <v>16</v>
      </c>
      <c r="J40" s="23" t="str">
        <f>IF(I40=0,"-",IF(VLOOKUP(A40,[2]谷仓DE库龄!A:I,9,0)&gt;365,"≥1 Year",IF(VLOOKUP(A40,[2]谷仓DE库龄!A:I,9,0)&gt;270,"≥9 Months",IF(VLOOKUP(A40,[2]谷仓DE库龄!A:I,9,0)&gt;180,"≥6 Months",IF(VLOOKUP(A40,[2]谷仓DE库龄!A:I,9,0)&gt;90,"≥3 Months","正常")))))</f>
        <v>≥1 Year</v>
      </c>
      <c r="K40" s="24" t="str">
        <f>IF(VLOOKUP(A40,[2]谷仓DE!A:P,12,0)=0,"",VLOOKUP(A40,[2]谷仓DE!A:P,12,0))</f>
        <v/>
      </c>
      <c r="L40" s="10"/>
    </row>
    <row r="41" customFormat="1" ht="15.6" spans="1:13">
      <c r="A41" s="28" t="s">
        <v>124</v>
      </c>
      <c r="B41" s="29" t="s">
        <v>125</v>
      </c>
      <c r="C41" s="30" t="s">
        <v>122</v>
      </c>
      <c r="D41" s="30" t="s">
        <v>125</v>
      </c>
      <c r="E41" s="31" t="s">
        <v>126</v>
      </c>
      <c r="F41" s="32" t="s">
        <v>127</v>
      </c>
      <c r="G41" s="32" t="s">
        <v>128</v>
      </c>
      <c r="H41" s="29" t="s">
        <v>129</v>
      </c>
      <c r="I41" s="22">
        <f>VLOOKUP(A41,[2]谷仓DE!A:Q,15,0)</f>
        <v>17</v>
      </c>
      <c r="J41" s="23" t="str">
        <f>IF(I41=0,"-",IF(VLOOKUP(A41,[2]谷仓DE库龄!A:I,9,0)&gt;365,"≥1 Year",IF(VLOOKUP(A41,[2]谷仓DE库龄!A:I,9,0)&gt;270,"≥9 Months",IF(VLOOKUP(A41,[2]谷仓DE库龄!A:I,9,0)&gt;180,"≥6 Months",IF(VLOOKUP(A41,[2]谷仓DE库龄!A:I,9,0)&gt;90,"≥3 Months","正常")))))</f>
        <v>正常</v>
      </c>
      <c r="K41" s="24" t="str">
        <f>IF(VLOOKUP(A41,[2]谷仓DE!A:P,12,0)=0,"",VLOOKUP(A41,[2]谷仓DE!A:P,12,0))</f>
        <v/>
      </c>
      <c r="L41" s="10"/>
    </row>
    <row r="42" customFormat="1" ht="15.6" spans="1:13">
      <c r="A42" s="85" t="s">
        <v>130</v>
      </c>
      <c r="B42" s="29">
        <v>1300100113</v>
      </c>
      <c r="C42" s="30" t="s">
        <v>122</v>
      </c>
      <c r="D42" s="30">
        <v>1300100113</v>
      </c>
      <c r="E42" s="31" t="str">
        <f>VLOOKUP(D42,[2]SKU!A:AK,2,0)</f>
        <v>三维扫描仪Lynx豪华款(欧规)</v>
      </c>
      <c r="F42" s="32" t="str">
        <f>VLOOKUP(D42,[2]SKU!A:AK,8,0)</f>
        <v>三维扫描仪-JML1</v>
      </c>
      <c r="G42" s="32" t="s">
        <v>131</v>
      </c>
      <c r="H42" s="29" t="str">
        <f>VLOOKUP(D42,[2]SKU!A:AK,26,0)</f>
        <v>JML1</v>
      </c>
      <c r="I42" s="22">
        <f>VLOOKUP(A42,[2]谷仓DE!A:Q,15,0)</f>
        <v>28</v>
      </c>
      <c r="J42" s="23" t="str">
        <f>IF(I42=0,"-",IF(VLOOKUP(A42,[2]谷仓DE库龄!A:I,9,0)&gt;365,"≥1 Year",IF(VLOOKUP(A42,[2]谷仓DE库龄!A:I,9,0)&gt;270,"≥9 Months",IF(VLOOKUP(A42,[2]谷仓DE库龄!A:I,9,0)&gt;180,"≥6 Months",IF(VLOOKUP(A42,[2]谷仓DE库龄!A:I,9,0)&gt;90,"≥3 Months","正常")))))</f>
        <v>≥1 Year</v>
      </c>
      <c r="K42" s="24" t="str">
        <f>IF(VLOOKUP(A42,[2]谷仓DE!A:P,12,0)=0,"",VLOOKUP(A42,[2]谷仓DE!A:P,12,0))</f>
        <v/>
      </c>
      <c r="L42" s="10"/>
    </row>
    <row r="43" customFormat="1" ht="15.6" spans="1:13">
      <c r="A43" s="85" t="s">
        <v>132</v>
      </c>
      <c r="B43" s="30">
        <v>1300100044</v>
      </c>
      <c r="C43" s="30" t="s">
        <v>122</v>
      </c>
      <c r="D43" s="30">
        <v>1300100044</v>
      </c>
      <c r="E43" s="31" t="s">
        <v>133</v>
      </c>
      <c r="F43" s="32" t="str">
        <f>VLOOKUP(D44,[2]SKU!A:AK,8,0)</f>
        <v>三维扫描仪-JMM1</v>
      </c>
      <c r="G43" s="32" t="s">
        <v>134</v>
      </c>
      <c r="H43" s="33" t="str">
        <f>VLOOKUP(D43,[2]SKU!A:AK,26,0)</f>
        <v>JMM1</v>
      </c>
      <c r="I43" s="22">
        <f>VLOOKUP(A43,[2]谷仓DE!A:Q,15,0)</f>
        <v>0</v>
      </c>
      <c r="J43" s="23" t="str">
        <f>IF(I43=0,"-",IF(VLOOKUP(A43,[2]谷仓DE库龄!A:I,9,0)&gt;365,"≥1 Year",IF(VLOOKUP(A43,[2]谷仓DE库龄!A:I,9,0)&gt;270,"≥9 Months",IF(VLOOKUP(A43,[2]谷仓DE库龄!A:I,9,0)&gt;180,"≥6 Months",IF(VLOOKUP(A43,[2]谷仓DE库龄!A:I,9,0)&gt;90,"≥3 Months","正常")))))</f>
        <v>-</v>
      </c>
      <c r="K43" s="24">
        <f>IF(VLOOKUP(A43,[2]谷仓DE!A:P,12,0)=0,"",VLOOKUP(A43,[2]谷仓DE!A:P,12,0))</f>
        <v>16</v>
      </c>
      <c r="L43" s="10"/>
    </row>
    <row r="44" s="1" customFormat="1" ht="15.6" spans="1:13">
      <c r="A44" s="85" t="s">
        <v>135</v>
      </c>
      <c r="B44" s="33">
        <v>1300100038</v>
      </c>
      <c r="C44" s="34" t="s">
        <v>122</v>
      </c>
      <c r="D44" s="34">
        <v>1300100038</v>
      </c>
      <c r="E44" s="31" t="str">
        <f>VLOOKUP(D44,[2]SKU!A:AK,2,0)</f>
        <v>三维扫描仪Mole升级款(英文版)</v>
      </c>
      <c r="F44" s="32" t="str">
        <f>VLOOKUP(D45,[2]SKU!A:AK,8,0)</f>
        <v>三维扫描仪-JMM1</v>
      </c>
      <c r="G44" s="32" t="s">
        <v>136</v>
      </c>
      <c r="H44" s="33" t="str">
        <f>VLOOKUP(D44,[2]SKU!A:AK,26,0)</f>
        <v>JMM1</v>
      </c>
      <c r="I44" s="22">
        <f>VLOOKUP(A44,[2]谷仓DE!A:Q,15,0)</f>
        <v>22</v>
      </c>
      <c r="J44" s="23" t="str">
        <f>IF(I44=0,"-",IF(VLOOKUP(A44,[2]谷仓DE库龄!A:I,9,0)&gt;365,"≥1 Year",IF(VLOOKUP(A44,[2]谷仓DE库龄!A:I,9,0)&gt;270,"≥9 Months",IF(VLOOKUP(A44,[2]谷仓DE库龄!A:I,9,0)&gt;180,"≥6 Months",IF(VLOOKUP(A44,[2]谷仓DE库龄!A:I,9,0)&gt;90,"≥3 Months","正常")))))</f>
        <v>正常</v>
      </c>
      <c r="K44" s="24">
        <f>IF(VLOOKUP(A44,[2]谷仓DE!A:P,12,0)=0,"",VLOOKUP(A44,[2]谷仓DE!A:P,12,0))</f>
        <v>24</v>
      </c>
      <c r="L44" s="10"/>
      <c r="M44"/>
    </row>
    <row r="45" s="1" customFormat="1" ht="15.6" spans="1:13">
      <c r="A45" s="85" t="s">
        <v>137</v>
      </c>
      <c r="B45" s="33">
        <v>1300100039</v>
      </c>
      <c r="C45" s="34" t="s">
        <v>122</v>
      </c>
      <c r="D45" s="34">
        <v>1300100039</v>
      </c>
      <c r="E45" s="31" t="str">
        <f>VLOOKUP(D45,[2]SKU!A:AK,2,0)</f>
        <v>三维扫描仪Mole豪华款(英文版)</v>
      </c>
      <c r="F45" s="32" t="str">
        <f>VLOOKUP(D45,[2]SKU!A:AK,8,0)</f>
        <v>三维扫描仪-JMM1</v>
      </c>
      <c r="G45" s="32" t="s">
        <v>138</v>
      </c>
      <c r="H45" s="33" t="str">
        <f>VLOOKUP(D45,[2]SKU!A:AK,26,0)</f>
        <v>JMM1</v>
      </c>
      <c r="I45" s="22">
        <f>VLOOKUP(A45,[2]谷仓DE!A:Q,15,0)</f>
        <v>14</v>
      </c>
      <c r="J45" s="23" t="str">
        <f>IF(I45=0,"-",IF(VLOOKUP(A45,[2]谷仓DE库龄!A:I,9,0)&gt;365,"≥1 Year",IF(VLOOKUP(A45,[2]谷仓DE库龄!A:I,9,0)&gt;270,"≥9 Months",IF(VLOOKUP(A45,[2]谷仓DE库龄!A:I,9,0)&gt;180,"≥6 Months",IF(VLOOKUP(A45,[2]谷仓DE库龄!A:I,9,0)&gt;90,"≥3 Months","正常")))))</f>
        <v>正常</v>
      </c>
      <c r="K45" s="24" t="str">
        <f>IF(VLOOKUP(A45,[2]谷仓DE!A:P,12,0)=0,"",VLOOKUP(A45,[2]谷仓DE!A:P,12,0))</f>
        <v/>
      </c>
      <c r="L45" s="10"/>
      <c r="M45"/>
    </row>
    <row r="46" customFormat="1" ht="15.6" spans="1:13">
      <c r="A46" s="28" t="s">
        <v>18</v>
      </c>
      <c r="B46" s="35">
        <v>1300100219</v>
      </c>
      <c r="C46" s="30" t="s">
        <v>122</v>
      </c>
      <c r="D46" s="36">
        <v>1300100219</v>
      </c>
      <c r="E46" s="31" t="s">
        <v>19</v>
      </c>
      <c r="F46" s="32" t="str">
        <f>VLOOKUP(D46,[2]SKU!A:AK,8,0)</f>
        <v>三维扫描仪-JMS2</v>
      </c>
      <c r="G46" s="32" t="s">
        <v>21</v>
      </c>
      <c r="H46" s="29" t="str">
        <f>VLOOKUP(D46,[2]SKU!A:AK,26,0)</f>
        <v>JMS2</v>
      </c>
      <c r="I46" s="22">
        <f>VLOOKUP(A46,[2]谷仓DE!A:Q,15,0)</f>
        <v>158</v>
      </c>
      <c r="J46" s="23" t="str">
        <f>IF(I46=0,"-",IF(VLOOKUP(A46,[2]谷仓DE库龄!A:I,9,0)&gt;365,"≥1 Year",IF(VLOOKUP(A46,[2]谷仓DE库龄!A:I,9,0)&gt;270,"≥9 Months",IF(VLOOKUP(A46,[2]谷仓DE库龄!A:I,9,0)&gt;180,"≥6 Months",IF(VLOOKUP(A46,[2]谷仓DE库龄!A:I,9,0)&gt;90,"≥3 Months","正常")))))</f>
        <v>正常</v>
      </c>
      <c r="K46" s="24">
        <f>IF(VLOOKUP(A46,[2]谷仓DE!A:P,12,0)=0,"",VLOOKUP(A46,[2]谷仓DE!A:P,12,0))</f>
        <v>32</v>
      </c>
      <c r="L46" s="10"/>
    </row>
    <row r="47" customFormat="1" ht="15.6" spans="1:13">
      <c r="A47" s="28" t="s">
        <v>22</v>
      </c>
      <c r="B47" s="33">
        <v>1300100222</v>
      </c>
      <c r="C47" s="34" t="s">
        <v>122</v>
      </c>
      <c r="D47" s="34">
        <f>B47</f>
        <v>1300100222</v>
      </c>
      <c r="E47" s="31" t="str">
        <f>VLOOKUP(D47,[2]SKU!A:AK,2,0)</f>
        <v>三维扫描仪Seal Lite基础款(4规)</v>
      </c>
      <c r="F47" s="32" t="str">
        <f>VLOOKUP(D47,[2]SKU!A:AK,8,0)</f>
        <v>三维扫描仪-JMS1</v>
      </c>
      <c r="G47" s="32" t="s">
        <v>25</v>
      </c>
      <c r="H47" s="33" t="str">
        <f>VLOOKUP(D47,[2]SKU!A:AK,26,0)</f>
        <v>JMS1</v>
      </c>
      <c r="I47" s="22">
        <f>VLOOKUP(A47,[2]谷仓DE!A:Q,15,0)</f>
        <v>159</v>
      </c>
      <c r="J47" s="23" t="str">
        <f>IF(I47=0,"-",IF(VLOOKUP(A47,[2]谷仓DE库龄!A:I,9,0)&gt;365,"≥1 Year",IF(VLOOKUP(A47,[2]谷仓DE库龄!A:I,9,0)&gt;270,"≥9 Months",IF(VLOOKUP(A47,[2]谷仓DE库龄!A:I,9,0)&gt;180,"≥6 Months",IF(VLOOKUP(A47,[2]谷仓DE库龄!A:I,9,0)&gt;90,"≥3 Months","正常")))))</f>
        <v>正常</v>
      </c>
      <c r="K47" s="24">
        <f>IF(VLOOKUP(A47,[2]谷仓DE!A:P,12,0)=0,"",VLOOKUP(A47,[2]谷仓DE!A:P,12,0))</f>
        <v>32</v>
      </c>
      <c r="L47" s="10"/>
    </row>
    <row r="48" customFormat="1" ht="15.6" spans="1:13">
      <c r="A48" s="28" t="s">
        <v>26</v>
      </c>
      <c r="B48" s="33" t="s">
        <v>27</v>
      </c>
      <c r="C48" s="34" t="s">
        <v>122</v>
      </c>
      <c r="D48" s="37">
        <v>1300100118</v>
      </c>
      <c r="E48" s="31" t="str">
        <f>VLOOKUP(D48,[2]SKU!A:AK,2,0)</f>
        <v>Seal/Seal lite转台套餐</v>
      </c>
      <c r="F48" s="32" t="str">
        <f>VLOOKUP(D48,[2]SKU!A:AK,8,0)</f>
        <v>三维扫描仪备品备件</v>
      </c>
      <c r="G48" s="32" t="s">
        <v>29</v>
      </c>
      <c r="H48" s="33" t="str">
        <f>VLOOKUP(D48,[2]SKU!A:AK,26,0)</f>
        <v>-</v>
      </c>
      <c r="I48" s="22">
        <f>VLOOKUP(A48,[2]谷仓DE!A:Q,15,0)</f>
        <v>119</v>
      </c>
      <c r="J48" s="23" t="str">
        <f>IF(I48=0,"-",IF(VLOOKUP(A48,[2]谷仓DE库龄!A:I,9,0)&gt;365,"≥1 Year",IF(VLOOKUP(A48,[2]谷仓DE库龄!A:I,9,0)&gt;270,"≥9 Months",IF(VLOOKUP(A48,[2]谷仓DE库龄!A:I,9,0)&gt;180,"≥6 Months",IF(VLOOKUP(A48,[2]谷仓DE库龄!A:I,9,0)&gt;90,"≥3 Months","正常")))))</f>
        <v>正常</v>
      </c>
      <c r="K48" s="24" t="str">
        <f>IF(VLOOKUP(A48,[2]谷仓DE!A:P,12,0)=0,"",VLOOKUP(A48,[2]谷仓DE!A:P,12,0))</f>
        <v/>
      </c>
      <c r="L48" s="10"/>
    </row>
    <row r="49" customFormat="1" ht="15.6" spans="1:12">
      <c r="A49" s="28" t="s">
        <v>30</v>
      </c>
      <c r="B49" s="33" t="s">
        <v>31</v>
      </c>
      <c r="C49" s="34" t="s">
        <v>122</v>
      </c>
      <c r="D49" s="37">
        <v>1200100064</v>
      </c>
      <c r="E49" s="31" t="str">
        <f>VLOOKUP(D49,[2]SKU!A:AK,2,0)</f>
        <v>Seal三脚架套装</v>
      </c>
      <c r="F49" s="32" t="str">
        <f>VLOOKUP(D49,[2]SKU!A:AK,8,0)</f>
        <v>三维扫描仪备品备件</v>
      </c>
      <c r="G49" s="32" t="s">
        <v>32</v>
      </c>
      <c r="H49" s="33" t="str">
        <f>VLOOKUP(D49,[2]SKU!A:AK,26,0)</f>
        <v>-</v>
      </c>
      <c r="I49" s="22">
        <f>VLOOKUP(A49,[2]谷仓DE!A:Q,15,0)</f>
        <v>122</v>
      </c>
      <c r="J49" s="23" t="str">
        <f>IF(I49=0,"-",IF(VLOOKUP(A49,[2]谷仓DE库龄!A:I,9,0)&gt;365,"≥1 Year",IF(VLOOKUP(A49,[2]谷仓DE库龄!A:I,9,0)&gt;270,"≥9 Months",IF(VLOOKUP(A49,[2]谷仓DE库龄!A:I,9,0)&gt;180,"≥6 Months",IF(VLOOKUP(A49,[2]谷仓DE库龄!A:I,9,0)&gt;90,"≥3 Months","正常")))))</f>
        <v>≥1 Year</v>
      </c>
      <c r="K49" s="24" t="str">
        <f>IF(VLOOKUP(A49,[2]谷仓DE!A:P,12,0)=0,"",VLOOKUP(A49,[2]谷仓DE!A:P,12,0))</f>
        <v/>
      </c>
      <c r="L49" s="10"/>
    </row>
    <row r="50" customFormat="1" ht="15.6" spans="1:12">
      <c r="A50" s="28" t="s">
        <v>33</v>
      </c>
      <c r="B50" s="33" t="s">
        <v>34</v>
      </c>
      <c r="C50" s="34" t="s">
        <v>122</v>
      </c>
      <c r="D50" s="37">
        <v>1300100082</v>
      </c>
      <c r="E50" s="31" t="str">
        <f>VLOOKUP(D50,[2]SKU!A:AK,2,0)</f>
        <v>三维扫描仪智能手柄</v>
      </c>
      <c r="F50" s="32" t="str">
        <f>VLOOKUP(D50,[2]SKU!A:AK,8,0)</f>
        <v>三维扫描仪备品备件</v>
      </c>
      <c r="G50" s="32" t="s">
        <v>35</v>
      </c>
      <c r="H50" s="33" t="str">
        <f>VLOOKUP(D50,[2]SKU!A:AK,26,0)</f>
        <v>JMB1</v>
      </c>
      <c r="I50" s="22">
        <f>VLOOKUP(A50,[2]谷仓DE!A:Q,15,0)</f>
        <v>100</v>
      </c>
      <c r="J50" s="23" t="str">
        <f>IF(I50=0,"-",IF(VLOOKUP(A50,[2]谷仓DE库龄!A:I,9,0)&gt;365,"≥1 Year",IF(VLOOKUP(A50,[2]谷仓DE库龄!A:I,9,0)&gt;270,"≥9 Months",IF(VLOOKUP(A50,[2]谷仓DE库龄!A:I,9,0)&gt;180,"≥6 Months",IF(VLOOKUP(A50,[2]谷仓DE库龄!A:I,9,0)&gt;90,"≥3 Months","正常")))))</f>
        <v>正常</v>
      </c>
      <c r="K50" s="24" t="str">
        <f>IF(VLOOKUP(A50,[2]谷仓DE!A:P,12,0)=0,"",VLOOKUP(A50,[2]谷仓DE!A:P,12,0))</f>
        <v/>
      </c>
      <c r="L50" s="10"/>
    </row>
    <row r="51" customFormat="1" ht="15.6" spans="1:12">
      <c r="A51" s="85" t="s">
        <v>36</v>
      </c>
      <c r="B51" s="33">
        <v>1021900174</v>
      </c>
      <c r="C51" s="34" t="s">
        <v>122</v>
      </c>
      <c r="D51" s="34">
        <v>1021900174</v>
      </c>
      <c r="E51" s="31" t="str">
        <f>VLOOKUP(D51,[2]SKU!A:AK,2,0)</f>
        <v>智能手柄数据线</v>
      </c>
      <c r="F51" s="32" t="str">
        <f>VLOOKUP(D51,[2]SKU!A:AK,8,0)</f>
        <v>三维扫描仪备品备件</v>
      </c>
      <c r="G51" s="32" t="s">
        <v>15</v>
      </c>
      <c r="H51" s="33" t="str">
        <f>VLOOKUP(D51,[2]SKU!A:AK,26,0)</f>
        <v>-</v>
      </c>
      <c r="I51" s="22">
        <f>VLOOKUP(A51,[2]谷仓DE!A:Q,15,0)</f>
        <v>84</v>
      </c>
      <c r="J51" s="23" t="str">
        <f>IF(I51=0,"-",IF(VLOOKUP(A51,[2]谷仓DE库龄!A:I,9,0)&gt;365,"≥1 Year",IF(VLOOKUP(A51,[2]谷仓DE库龄!A:I,9,0)&gt;270,"≥9 Months",IF(VLOOKUP(A51,[2]谷仓DE库龄!A:I,9,0)&gt;180,"≥6 Months",IF(VLOOKUP(A51,[2]谷仓DE库龄!A:I,9,0)&gt;90,"≥3 Months","正常")))))</f>
        <v>≥1 Year</v>
      </c>
      <c r="K51" s="24" t="str">
        <f>IF(VLOOKUP(A51,[2]谷仓DE!A:P,12,0)=0,"",VLOOKUP(A51,[2]谷仓DE!A:P,12,0))</f>
        <v/>
      </c>
      <c r="L51" s="10"/>
    </row>
    <row r="52" customFormat="1" ht="15.6" spans="1:12">
      <c r="A52" s="28" t="s">
        <v>41</v>
      </c>
      <c r="B52" s="33" t="s">
        <v>139</v>
      </c>
      <c r="C52" s="34" t="s">
        <v>122</v>
      </c>
      <c r="D52" s="37">
        <v>1300100089</v>
      </c>
      <c r="E52" s="31" t="str">
        <f>VLOOKUP(D52,[2]SKU!A:AK,2,0)</f>
        <v>Seal双轴转台(欧规)</v>
      </c>
      <c r="F52" s="32" t="str">
        <f>VLOOKUP(D52,[2]SKU!A:AK,8,0)</f>
        <v>三维扫描仪备品备件</v>
      </c>
      <c r="G52" s="32" t="s">
        <v>43</v>
      </c>
      <c r="H52" s="33" t="str">
        <f>VLOOKUP(D52,[2]SKU!A:AK,26,0)</f>
        <v>-</v>
      </c>
      <c r="I52" s="22">
        <f>VLOOKUP(A52,[2]谷仓DE!A:Q,15,0)</f>
        <v>27</v>
      </c>
      <c r="J52" s="23" t="str">
        <f>IF(I52=0,"-",IF(VLOOKUP(A52,[2]谷仓DE库龄!A:I,9,0)&gt;365,"≥1 Year",IF(VLOOKUP(A52,[2]谷仓DE库龄!A:I,9,0)&gt;270,"≥9 Months",IF(VLOOKUP(A52,[2]谷仓DE库龄!A:I,9,0)&gt;180,"≥6 Months",IF(VLOOKUP(A52,[2]谷仓DE库龄!A:I,9,0)&gt;90,"≥3 Months","正常")))))</f>
        <v>≥3 Months</v>
      </c>
      <c r="K52" s="24" t="str">
        <f>IF(VLOOKUP(A52,[2]谷仓DE!A:P,12,0)=0,"",VLOOKUP(A52,[2]谷仓DE!A:P,12,0))</f>
        <v/>
      </c>
      <c r="L52" s="10"/>
    </row>
    <row r="53" customFormat="1" ht="15.6" spans="1:12">
      <c r="A53" s="85" t="s">
        <v>44</v>
      </c>
      <c r="B53" s="29" t="s">
        <v>140</v>
      </c>
      <c r="C53" s="30" t="s">
        <v>122</v>
      </c>
      <c r="D53" s="36" t="s">
        <v>140</v>
      </c>
      <c r="E53" s="31" t="s">
        <v>45</v>
      </c>
      <c r="F53" s="32" t="s">
        <v>49</v>
      </c>
      <c r="G53" s="32" t="s">
        <v>46</v>
      </c>
      <c r="H53" s="29" t="s">
        <v>51</v>
      </c>
      <c r="I53" s="22">
        <f>VLOOKUP(A53,[2]谷仓DE!A:Q,15,0)</f>
        <v>30</v>
      </c>
      <c r="J53" s="23" t="str">
        <f>IF(I53=0,"-",IF(VLOOKUP(A53,[2]谷仓DE库龄!A:I,9,0)&gt;365,"≥1 Year",IF(VLOOKUP(A53,[2]谷仓DE库龄!A:I,9,0)&gt;270,"≥9 Months",IF(VLOOKUP(A53,[2]谷仓DE库龄!A:I,9,0)&gt;180,"≥6 Months",IF(VLOOKUP(A53,[2]谷仓DE库龄!A:I,9,0)&gt;90,"≥3 Months","正常")))))</f>
        <v>正常</v>
      </c>
      <c r="K53" s="24" t="str">
        <f>IF(VLOOKUP(A53,[2]谷仓DE!A:P,12,0)=0,"",VLOOKUP(A53,[2]谷仓DE!A:P,12,0))</f>
        <v/>
      </c>
      <c r="L53" s="10"/>
    </row>
    <row r="54" customFormat="1" ht="15.6" spans="1:12">
      <c r="A54" s="28" t="s">
        <v>47</v>
      </c>
      <c r="B54" s="29" t="s">
        <v>141</v>
      </c>
      <c r="C54" s="30" t="s">
        <v>122</v>
      </c>
      <c r="D54" s="36" t="s">
        <v>141</v>
      </c>
      <c r="E54" s="31" t="s">
        <v>48</v>
      </c>
      <c r="F54" s="32" t="s">
        <v>49</v>
      </c>
      <c r="G54" s="32" t="s">
        <v>50</v>
      </c>
      <c r="H54" s="29" t="s">
        <v>51</v>
      </c>
      <c r="I54" s="22">
        <f>VLOOKUP(A54,[2]谷仓DE!A:Q,15,0)</f>
        <v>96</v>
      </c>
      <c r="J54" s="23" t="str">
        <f>IF(I54=0,"-",IF(VLOOKUP(A54,[2]谷仓DE库龄!A:I,9,0)&gt;365,"≥1 Year",IF(VLOOKUP(A54,[2]谷仓DE库龄!A:I,9,0)&gt;270,"≥9 Months",IF(VLOOKUP(A54,[2]谷仓DE库龄!A:I,9,0)&gt;180,"≥6 Months",IF(VLOOKUP(A54,[2]谷仓DE库龄!A:I,9,0)&gt;90,"≥3 Months","正常")))))</f>
        <v>正常</v>
      </c>
      <c r="K54" s="24" t="str">
        <f>IF(VLOOKUP(A54,[2]谷仓DE!A:P,12,0)=0,"",VLOOKUP(A54,[2]谷仓DE!A:P,12,0))</f>
        <v/>
      </c>
      <c r="L54" s="10"/>
    </row>
    <row r="55" customFormat="1" ht="15.6" spans="1:12">
      <c r="A55" s="28" t="s">
        <v>52</v>
      </c>
      <c r="B55" s="29" t="s">
        <v>142</v>
      </c>
      <c r="C55" s="30" t="s">
        <v>122</v>
      </c>
      <c r="D55" s="36" t="s">
        <v>142</v>
      </c>
      <c r="E55" s="31" t="s">
        <v>53</v>
      </c>
      <c r="F55" s="32" t="s">
        <v>49</v>
      </c>
      <c r="G55" s="32" t="s">
        <v>54</v>
      </c>
      <c r="H55" s="29" t="s">
        <v>51</v>
      </c>
      <c r="I55" s="22">
        <f>VLOOKUP(A55,[2]谷仓DE!A:Q,15,0)</f>
        <v>33</v>
      </c>
      <c r="J55" s="23" t="str">
        <f>IF(I55=0,"-",IF(VLOOKUP(A55,[2]谷仓DE库龄!A:I,9,0)&gt;365,"≥1 Year",IF(VLOOKUP(A55,[2]谷仓DE库龄!A:I,9,0)&gt;270,"≥9 Months",IF(VLOOKUP(A55,[2]谷仓DE库龄!A:I,9,0)&gt;180,"≥6 Months",IF(VLOOKUP(A55,[2]谷仓DE库龄!A:I,9,0)&gt;90,"≥3 Months","正常")))))</f>
        <v>正常</v>
      </c>
      <c r="K55" s="24" t="str">
        <f>IF(VLOOKUP(A55,[2]谷仓DE!A:P,12,0)=0,"",VLOOKUP(A55,[2]谷仓DE!A:P,12,0))</f>
        <v/>
      </c>
      <c r="L55" s="10"/>
    </row>
    <row r="56" customFormat="1" ht="15.6" spans="1:12">
      <c r="A56" s="28" t="s">
        <v>55</v>
      </c>
      <c r="B56" s="29" t="s">
        <v>143</v>
      </c>
      <c r="C56" s="30" t="s">
        <v>122</v>
      </c>
      <c r="D56" s="36" t="s">
        <v>143</v>
      </c>
      <c r="E56" s="31" t="s">
        <v>56</v>
      </c>
      <c r="F56" s="32" t="s">
        <v>60</v>
      </c>
      <c r="G56" s="32" t="s">
        <v>57</v>
      </c>
      <c r="H56" s="29" t="s">
        <v>62</v>
      </c>
      <c r="I56" s="22">
        <f>VLOOKUP(A56,[2]谷仓DE!A:Q,15,0)</f>
        <v>67</v>
      </c>
      <c r="J56" s="23" t="str">
        <f>IF(I56=0,"-",IF(VLOOKUP(A56,[2]谷仓DE库龄!A:I,9,0)&gt;365,"≥1 Year",IF(VLOOKUP(A56,[2]谷仓DE库龄!A:I,9,0)&gt;270,"≥9 Months",IF(VLOOKUP(A56,[2]谷仓DE库龄!A:I,9,0)&gt;180,"≥6 Months",IF(VLOOKUP(A56,[2]谷仓DE库龄!A:I,9,0)&gt;90,"≥3 Months","正常")))))</f>
        <v>正常</v>
      </c>
      <c r="K56" s="24" t="str">
        <f>IF(VLOOKUP(A56,[2]谷仓DE!A:P,12,0)=0,"",VLOOKUP(A56,[2]谷仓DE!A:P,12,0))</f>
        <v/>
      </c>
      <c r="L56" s="10"/>
    </row>
    <row r="57" customFormat="1" ht="15.6" spans="1:12">
      <c r="A57" s="85" t="s">
        <v>58</v>
      </c>
      <c r="B57" s="29">
        <v>1300100233</v>
      </c>
      <c r="C57" s="30" t="s">
        <v>122</v>
      </c>
      <c r="D57" s="30">
        <v>1300100233</v>
      </c>
      <c r="E57" s="31" t="s">
        <v>59</v>
      </c>
      <c r="F57" s="32" t="str">
        <f>VLOOKUP(D57,[2]SKU!A:AK,8,0)</f>
        <v>三维扫描仪-JMM4</v>
      </c>
      <c r="G57" s="32" t="s">
        <v>61</v>
      </c>
      <c r="H57" s="29" t="str">
        <f>VLOOKUP(D57,[2]SKU!A:AK,26,0)</f>
        <v>JMM4</v>
      </c>
      <c r="I57" s="22">
        <f>VLOOKUP(A57,[2]谷仓DE!A:Q,15,0)</f>
        <v>0</v>
      </c>
      <c r="J57" s="23" t="str">
        <f>IF(I57=0,"-",IF(VLOOKUP(A57,[2]谷仓DE库龄!A:I,9,0)&gt;365,"≥1 Year",IF(VLOOKUP(A57,[2]谷仓DE库龄!A:I,9,0)&gt;270,"≥9 Months",IF(VLOOKUP(A57,[2]谷仓DE库龄!A:I,9,0)&gt;180,"≥6 Months",IF(VLOOKUP(A57,[2]谷仓DE库龄!A:I,9,0)&gt;90,"≥3 Months","正常")))))</f>
        <v>-</v>
      </c>
      <c r="K57" s="24">
        <f>IF(VLOOKUP(A57,[2]谷仓DE!A:P,12,0)=0,"",VLOOKUP(A57,[2]谷仓DE!A:P,12,0))</f>
        <v>54</v>
      </c>
      <c r="L57" s="10"/>
    </row>
    <row r="58" customFormat="1" ht="15.6" spans="1:12">
      <c r="A58" s="85" t="s">
        <v>63</v>
      </c>
      <c r="B58" s="29">
        <v>1300100234</v>
      </c>
      <c r="C58" s="30" t="s">
        <v>122</v>
      </c>
      <c r="D58" s="30">
        <v>1300100234</v>
      </c>
      <c r="E58" s="31" t="s">
        <v>144</v>
      </c>
      <c r="F58" s="32" t="str">
        <f>VLOOKUP(D58,[2]SKU!A:AK,8,0)</f>
        <v>三维扫描仪-JMM4</v>
      </c>
      <c r="G58" s="32" t="s">
        <v>64</v>
      </c>
      <c r="H58" s="29" t="str">
        <f>VLOOKUP(D58,[2]SKU!A:AK,26,0)</f>
        <v>JMM4</v>
      </c>
      <c r="I58" s="22">
        <f>VLOOKUP(A58,[2]谷仓DE!A:Q,15,0)</f>
        <v>22</v>
      </c>
      <c r="J58" s="23" t="str">
        <f>IF(I58=0,"-",IF(VLOOKUP(A58,[2]谷仓DE库龄!A:I,9,0)&gt;365,"≥1 Year",IF(VLOOKUP(A58,[2]谷仓DE库龄!A:I,9,0)&gt;270,"≥9 Months",IF(VLOOKUP(A58,[2]谷仓DE库龄!A:I,9,0)&gt;180,"≥6 Months",IF(VLOOKUP(A58,[2]谷仓DE库龄!A:I,9,0)&gt;90,"≥3 Months","正常")))))</f>
        <v>≥3 Months</v>
      </c>
      <c r="K58" s="24" t="str">
        <f>IF(VLOOKUP(A58,[2]谷仓DE!A:P,12,0)=0,"",VLOOKUP(A58,[2]谷仓DE!A:P,12,0))</f>
        <v/>
      </c>
      <c r="L58" s="10"/>
    </row>
    <row r="59" customFormat="1" ht="15.6" spans="1:12">
      <c r="A59" s="28" t="s">
        <v>65</v>
      </c>
      <c r="B59" s="33">
        <v>1300100211</v>
      </c>
      <c r="C59" s="34" t="s">
        <v>122</v>
      </c>
      <c r="D59" s="34">
        <v>1300100211</v>
      </c>
      <c r="E59" s="31" t="str">
        <f>VLOOKUP(D59,[2]SKU!A:AK,2,0)</f>
        <v>三维扫描仪Eagle JMK1 RTK</v>
      </c>
      <c r="F59" s="32" t="str">
        <f>VLOOKUP(D59,[2]SKU!A:AK,8,0)</f>
        <v>三维扫描仪-JMK1</v>
      </c>
      <c r="G59" s="32" t="s">
        <v>66</v>
      </c>
      <c r="H59" s="33" t="str">
        <f>VLOOKUP(D59,[2]SKU!A:AK,26,0)</f>
        <v>JMK1</v>
      </c>
      <c r="I59" s="22">
        <f>VLOOKUP(A59,[2]谷仓DE!A:Q,15,0)</f>
        <v>53</v>
      </c>
      <c r="J59" s="23" t="str">
        <f>IF(I59=0,"-",IF(VLOOKUP(A59,[2]谷仓DE库龄!A:I,9,0)&gt;365,"≥1 Year",IF(VLOOKUP(A59,[2]谷仓DE库龄!A:I,9,0)&gt;270,"≥9 Months",IF(VLOOKUP(A59,[2]谷仓DE库龄!A:I,9,0)&gt;180,"≥6 Months",IF(VLOOKUP(A59,[2]谷仓DE库龄!A:I,9,0)&gt;90,"≥3 Months","正常")))))</f>
        <v>≥3 Months</v>
      </c>
      <c r="K59" s="24" t="str">
        <f>IF(VLOOKUP(A59,[2]谷仓DE!A:P,12,0)=0,"",VLOOKUP(A59,[2]谷仓DE!A:P,12,0))</f>
        <v/>
      </c>
      <c r="L59" s="10"/>
    </row>
    <row r="60" customFormat="1" ht="15.6" spans="1:12">
      <c r="A60" s="28" t="s">
        <v>67</v>
      </c>
      <c r="B60" s="33">
        <v>1300100212</v>
      </c>
      <c r="C60" s="34" t="s">
        <v>122</v>
      </c>
      <c r="D60" s="34">
        <v>1300100212</v>
      </c>
      <c r="E60" s="31" t="str">
        <f>VLOOKUP(D60,[2]SKU!A:AK,2,0)</f>
        <v>三维扫描仪Eagle JMK2 RTK</v>
      </c>
      <c r="F60" s="32" t="str">
        <f>VLOOKUP(D60,[2]SKU!A:AK,8,0)</f>
        <v>三维扫描仪-JMK2</v>
      </c>
      <c r="G60" s="32" t="s">
        <v>68</v>
      </c>
      <c r="H60" s="33" t="str">
        <f>VLOOKUP(D60,[2]SKU!A:AK,26,0)</f>
        <v>JMK2</v>
      </c>
      <c r="I60" s="22">
        <f>VLOOKUP(A60,[2]谷仓DE!A:Q,15,0)</f>
        <v>16</v>
      </c>
      <c r="J60" s="23" t="str">
        <f>IF(I60=0,"-",IF(VLOOKUP(A60,[2]谷仓DE库龄!A:I,9,0)&gt;365,"≥1 Year",IF(VLOOKUP(A60,[2]谷仓DE库龄!A:I,9,0)&gt;270,"≥9 Months",IF(VLOOKUP(A60,[2]谷仓DE库龄!A:I,9,0)&gt;180,"≥6 Months",IF(VLOOKUP(A60,[2]谷仓DE库龄!A:I,9,0)&gt;90,"≥3 Months","正常")))))</f>
        <v>≥3 Months</v>
      </c>
      <c r="K60" s="24" t="str">
        <f>IF(VLOOKUP(A60,[2]谷仓DE!A:P,12,0)=0,"",VLOOKUP(A60,[2]谷仓DE!A:P,12,0))</f>
        <v/>
      </c>
      <c r="L60" s="10"/>
    </row>
    <row r="61" customFormat="1" ht="15.6" spans="1:12">
      <c r="A61" s="28" t="s">
        <v>145</v>
      </c>
      <c r="B61" s="33">
        <v>1300100194</v>
      </c>
      <c r="C61" s="34" t="s">
        <v>122</v>
      </c>
      <c r="D61" s="34">
        <v>1300100194</v>
      </c>
      <c r="E61" s="31" t="str">
        <f>VLOOKUP(D61,[2]SKU!A:AK,2,0)</f>
        <v>三维扫描仪Eagle JMK1</v>
      </c>
      <c r="F61" s="32" t="str">
        <f>VLOOKUP(D61,[2]SKU!A:AK,8,0)</f>
        <v>三维扫描仪-JMK1</v>
      </c>
      <c r="G61" s="32" t="s">
        <v>15</v>
      </c>
      <c r="H61" s="33" t="str">
        <f>VLOOKUP(D61,[2]SKU!A:AK,26,0)</f>
        <v>JMK1</v>
      </c>
      <c r="I61" s="22">
        <f>VLOOKUP(A61,[2]谷仓DE!A:Q,15,0)</f>
        <v>4</v>
      </c>
      <c r="J61" s="23" t="str">
        <f>IF(I61=0,"-",IF(VLOOKUP(A61,[2]谷仓DE库龄!A:I,9,0)&gt;365,"≥1 Year",IF(VLOOKUP(A61,[2]谷仓DE库龄!A:I,9,0)&gt;270,"≥9 Months",IF(VLOOKUP(A61,[2]谷仓DE库龄!A:I,9,0)&gt;180,"≥6 Months",IF(VLOOKUP(A61,[2]谷仓DE库龄!A:I,9,0)&gt;90,"≥3 Months","正常")))))</f>
        <v>≥1 Year</v>
      </c>
      <c r="K61" s="24" t="str">
        <f>IF(VLOOKUP(A61,[2]谷仓DE!A:P,12,0)=0,"",VLOOKUP(A61,[2]谷仓DE!A:P,12,0))</f>
        <v/>
      </c>
      <c r="L61" s="10"/>
    </row>
    <row r="62" customFormat="1" ht="15.6" spans="1:12">
      <c r="A62" s="28" t="s">
        <v>70</v>
      </c>
      <c r="B62" s="33">
        <v>1050100021</v>
      </c>
      <c r="C62" s="34" t="s">
        <v>122</v>
      </c>
      <c r="D62" s="34">
        <v>1050100021</v>
      </c>
      <c r="E62" s="31" t="str">
        <f>VLOOKUP(D62,[2]SKU!A:AK,2,0)</f>
        <v>三脚架</v>
      </c>
      <c r="F62" s="32" t="str">
        <f>VLOOKUP(D62,[2]SKU!A:AK,8,0)</f>
        <v>三维扫描仪备品备件</v>
      </c>
      <c r="G62" s="32" t="s">
        <v>15</v>
      </c>
      <c r="H62" s="33" t="str">
        <f>VLOOKUP(D62,[2]SKU!A:AK,26,0)</f>
        <v>-</v>
      </c>
      <c r="I62" s="22">
        <f>VLOOKUP(A62,[2]谷仓DE!A:Q,15,0)</f>
        <v>5</v>
      </c>
      <c r="J62" s="23" t="str">
        <f>IF(I62=0,"-",IF(VLOOKUP(A62,[2]谷仓DE库龄!A:I,9,0)&gt;365,"≥1 Year",IF(VLOOKUP(A62,[2]谷仓DE库龄!A:I,9,0)&gt;270,"≥9 Months",IF(VLOOKUP(A62,[2]谷仓DE库龄!A:I,9,0)&gt;180,"≥6 Months",IF(VLOOKUP(A62,[2]谷仓DE库龄!A:I,9,0)&gt;90,"≥3 Months","正常")))))</f>
        <v>≥9 Months</v>
      </c>
      <c r="K62" s="24" t="str">
        <f>IF(VLOOKUP(A62,[2]谷仓DE!A:P,12,0)=0,"",VLOOKUP(A62,[2]谷仓DE!A:P,12,0))</f>
        <v/>
      </c>
      <c r="L62" s="10"/>
    </row>
    <row r="63" customFormat="1" ht="15.6" spans="1:12">
      <c r="A63" s="28" t="s">
        <v>76</v>
      </c>
      <c r="B63" s="33">
        <v>1300100209</v>
      </c>
      <c r="C63" s="34" t="s">
        <v>122</v>
      </c>
      <c r="D63" s="34">
        <v>1300100209</v>
      </c>
      <c r="E63" s="31" t="str">
        <f>VLOOKUP(D63,[2]SKU!A:AK,2,0)</f>
        <v>自行车支架套装</v>
      </c>
      <c r="F63" s="32" t="str">
        <f>VLOOKUP(D63,[2]SKU!A:AK,8,0)</f>
        <v>三维扫描仪备品备件</v>
      </c>
      <c r="G63" s="32" t="s">
        <v>15</v>
      </c>
      <c r="H63" s="33" t="str">
        <f>VLOOKUP(D63,[2]SKU!A:AK,26,0)</f>
        <v>-</v>
      </c>
      <c r="I63" s="22">
        <f>VLOOKUP(A63,[2]谷仓DE!A:Q,15,0)</f>
        <v>26</v>
      </c>
      <c r="J63" s="23" t="str">
        <f>IF(I63=0,"-",IF(VLOOKUP(A63,[2]谷仓DE库龄!A:I,9,0)&gt;365,"≥1 Year",IF(VLOOKUP(A63,[2]谷仓DE库龄!A:I,9,0)&gt;270,"≥9 Months",IF(VLOOKUP(A63,[2]谷仓DE库龄!A:I,9,0)&gt;180,"≥6 Months",IF(VLOOKUP(A63,[2]谷仓DE库龄!A:I,9,0)&gt;90,"≥3 Months","正常")))))</f>
        <v>正常</v>
      </c>
      <c r="K63" s="24" t="str">
        <f>IF(VLOOKUP(A63,[2]谷仓DE!A:P,12,0)=0,"",VLOOKUP(A63,[2]谷仓DE!A:P,12,0))</f>
        <v/>
      </c>
      <c r="L63" s="10"/>
    </row>
    <row r="64" customFormat="1" ht="15.6" spans="1:12">
      <c r="A64" s="28" t="s">
        <v>77</v>
      </c>
      <c r="B64" s="33">
        <v>1300100207</v>
      </c>
      <c r="C64" s="34" t="s">
        <v>122</v>
      </c>
      <c r="D64" s="34">
        <v>1300100207</v>
      </c>
      <c r="E64" s="31" t="str">
        <f>VLOOKUP(D64,[2]SKU!A:AK,2,0)</f>
        <v>车顶吸盘安装套装</v>
      </c>
      <c r="F64" s="32" t="str">
        <f>VLOOKUP(D64,[2]SKU!A:AK,8,0)</f>
        <v>三维扫描仪备品备件</v>
      </c>
      <c r="G64" s="32" t="s">
        <v>15</v>
      </c>
      <c r="H64" s="33" t="str">
        <f>VLOOKUP(D64,[2]SKU!A:AK,26,0)</f>
        <v>-</v>
      </c>
      <c r="I64" s="22">
        <f>VLOOKUP(A64,[2]谷仓DE!A:Q,15,0)</f>
        <v>9</v>
      </c>
      <c r="J64" s="23" t="str">
        <f>IF(I64=0,"-",IF(VLOOKUP(A64,[2]谷仓DE库龄!A:I,9,0)&gt;365,"≥1 Year",IF(VLOOKUP(A64,[2]谷仓DE库龄!A:I,9,0)&gt;270,"≥9 Months",IF(VLOOKUP(A64,[2]谷仓DE库龄!A:I,9,0)&gt;180,"≥6 Months",IF(VLOOKUP(A64,[2]谷仓DE库龄!A:I,9,0)&gt;90,"≥3 Months","正常")))))</f>
        <v>正常</v>
      </c>
      <c r="K64" s="24" t="str">
        <f>IF(VLOOKUP(A64,[2]谷仓DE!A:P,12,0)=0,"",VLOOKUP(A64,[2]谷仓DE!A:P,12,0))</f>
        <v/>
      </c>
      <c r="L64" s="10"/>
    </row>
    <row r="65" customFormat="1" ht="15.6" spans="1:12">
      <c r="A65" s="28" t="s">
        <v>71</v>
      </c>
      <c r="B65" s="33" t="s">
        <v>146</v>
      </c>
      <c r="C65" s="34" t="s">
        <v>122</v>
      </c>
      <c r="D65" s="34" t="s">
        <v>146</v>
      </c>
      <c r="E65" s="31" t="s">
        <v>72</v>
      </c>
      <c r="F65" s="32" t="s">
        <v>28</v>
      </c>
      <c r="G65" s="32" t="s">
        <v>15</v>
      </c>
      <c r="H65" s="33" t="s">
        <v>15</v>
      </c>
      <c r="I65" s="22">
        <f>VLOOKUP(A65,[2]谷仓DE!A:Q,15,0)</f>
        <v>0</v>
      </c>
      <c r="J65" s="23" t="str">
        <f>IF(I65=0,"-",IF(VLOOKUP(A65,[2]谷仓DE库龄!A:I,9,0)&gt;365,"≥1 Year",IF(VLOOKUP(A65,[2]谷仓DE库龄!A:I,9,0)&gt;270,"≥9 Months",IF(VLOOKUP(A65,[2]谷仓DE库龄!A:I,9,0)&gt;180,"≥6 Months",IF(VLOOKUP(A65,[2]谷仓DE库龄!A:I,9,0)&gt;90,"≥3 Months","正常")))))</f>
        <v>-</v>
      </c>
      <c r="K65" s="24" t="str">
        <f>IF(VLOOKUP(A65,[2]谷仓DE!A:P,12,0)=0,"",VLOOKUP(A65,[2]谷仓DE!A:P,12,0))</f>
        <v/>
      </c>
      <c r="L65" s="10"/>
    </row>
    <row r="66" customFormat="1" ht="15.6" spans="1:12">
      <c r="A66" s="28" t="s">
        <v>69</v>
      </c>
      <c r="B66" s="33">
        <v>1300100205</v>
      </c>
      <c r="C66" s="34" t="s">
        <v>122</v>
      </c>
      <c r="D66" s="34">
        <v>1300100205</v>
      </c>
      <c r="E66" s="31" t="str">
        <f>VLOOKUP(D66,[2]SKU!A:AK,2,0)</f>
        <v>钢化膜套装</v>
      </c>
      <c r="F66" s="32" t="str">
        <f>VLOOKUP(D66,[2]SKU!A:AK,8,0)</f>
        <v>三维扫描仪备品备件</v>
      </c>
      <c r="G66" s="32" t="s">
        <v>15</v>
      </c>
      <c r="H66" s="33" t="str">
        <f>VLOOKUP(D66,[2]SKU!A:AK,26,0)</f>
        <v>-</v>
      </c>
      <c r="I66" s="22">
        <f>VLOOKUP(A66,[2]谷仓DE!A:Q,15,0)</f>
        <v>10</v>
      </c>
      <c r="J66" s="23" t="str">
        <f>IF(I66=0,"-",IF(VLOOKUP(A66,[2]谷仓DE库龄!A:I,9,0)&gt;365,"≥1 Year",IF(VLOOKUP(A66,[2]谷仓DE库龄!A:I,9,0)&gt;270,"≥9 Months",IF(VLOOKUP(A66,[2]谷仓DE库龄!A:I,9,0)&gt;180,"≥6 Months",IF(VLOOKUP(A66,[2]谷仓DE库龄!A:I,9,0)&gt;90,"≥3 Months","正常")))))</f>
        <v>≥3 Months</v>
      </c>
      <c r="K66" s="24" t="str">
        <f>IF(VLOOKUP(A66,[2]谷仓DE!A:P,12,0)=0,"",VLOOKUP(A66,[2]谷仓DE!A:P,12,0))</f>
        <v/>
      </c>
      <c r="L66" s="10"/>
    </row>
    <row r="67" customFormat="1" ht="15.6" spans="1:12">
      <c r="A67" s="28" t="s">
        <v>73</v>
      </c>
      <c r="B67" s="33">
        <v>1021900168</v>
      </c>
      <c r="C67" s="34" t="s">
        <v>122</v>
      </c>
      <c r="D67" s="34">
        <f t="shared" ref="D67:D69" si="0">B67</f>
        <v>1021900168</v>
      </c>
      <c r="E67" s="31" t="str">
        <f>VLOOKUP(D67,[2]SKU!A:AK,2,0)</f>
        <v>Moose一体线缆</v>
      </c>
      <c r="F67" s="32" t="str">
        <f>VLOOKUP(D67,[2]SKU!A:AK,8,0)</f>
        <v>三维扫描仪备品备件</v>
      </c>
      <c r="G67" s="32" t="s">
        <v>15</v>
      </c>
      <c r="H67" s="38" t="str">
        <f>VLOOKUP(D67,[2]SKU!A:AK,26,0)</f>
        <v>-</v>
      </c>
      <c r="I67" s="22">
        <f>VLOOKUP(A67,[2]谷仓DE!A:Q,15,0)</f>
        <v>17</v>
      </c>
      <c r="J67" s="23" t="str">
        <f>IF(I67=0,"-",IF(VLOOKUP(A67,[2]谷仓DE库龄!A:I,9,0)&gt;365,"≥1 Year",IF(VLOOKUP(A67,[2]谷仓DE库龄!A:I,9,0)&gt;270,"≥9 Months",IF(VLOOKUP(A67,[2]谷仓DE库龄!A:I,9,0)&gt;180,"≥6 Months",IF(VLOOKUP(A67,[2]谷仓DE库龄!A:I,9,0)&gt;90,"≥3 Months","正常")))))</f>
        <v>≥9 Months</v>
      </c>
      <c r="K67" s="24" t="str">
        <f>IF(VLOOKUP(A67,[2]谷仓DE!A:P,12,0)=0,"",VLOOKUP(A67,[2]谷仓DE!A:P,12,0))</f>
        <v/>
      </c>
      <c r="L67" s="10"/>
    </row>
    <row r="68" customFormat="1" ht="15.6" spans="1:12">
      <c r="A68" s="28" t="s">
        <v>74</v>
      </c>
      <c r="B68" s="33">
        <v>1021900094</v>
      </c>
      <c r="C68" s="34" t="s">
        <v>122</v>
      </c>
      <c r="D68" s="34">
        <f t="shared" si="0"/>
        <v>1021900094</v>
      </c>
      <c r="E68" s="31" t="str">
        <f>VLOOKUP(D68,[2]SKU!A:AK,2,0)</f>
        <v>Seal扫描仪订制一体线缆</v>
      </c>
      <c r="F68" s="32" t="str">
        <f>VLOOKUP(D68,[2]SKU!A:AK,8,0)</f>
        <v>三维扫描仪备品备件</v>
      </c>
      <c r="G68" s="32" t="s">
        <v>15</v>
      </c>
      <c r="H68" s="38" t="str">
        <f>VLOOKUP(D68,[2]SKU!A:AK,26,0)</f>
        <v>-</v>
      </c>
      <c r="I68" s="22">
        <f>VLOOKUP(A68,[2]谷仓DE!A:Q,15,0)</f>
        <v>0</v>
      </c>
      <c r="J68" s="23" t="str">
        <f>IF(I68=0,"-",IF(VLOOKUP(A68,[2]谷仓DE库龄!A:I,9,0)&gt;365,"≥1 Year",IF(VLOOKUP(A68,[2]谷仓DE库龄!A:I,9,0)&gt;270,"≥9 Months",IF(VLOOKUP(A68,[2]谷仓DE库龄!A:I,9,0)&gt;180,"≥6 Months",IF(VLOOKUP(A68,[2]谷仓DE库龄!A:I,9,0)&gt;90,"≥3 Months","正常")))))</f>
        <v>-</v>
      </c>
      <c r="K68" s="24" t="str">
        <f>IF(VLOOKUP(A68,[2]谷仓DE!A:P,12,0)=0,"",VLOOKUP(A68,[2]谷仓DE!A:P,12,0))</f>
        <v/>
      </c>
      <c r="L68" s="10"/>
    </row>
    <row r="69" customFormat="1" ht="15.6" spans="1:12">
      <c r="A69" s="85" t="s">
        <v>75</v>
      </c>
      <c r="B69" s="33">
        <v>1040600057</v>
      </c>
      <c r="C69" s="34" t="s">
        <v>122</v>
      </c>
      <c r="D69" s="34">
        <f t="shared" si="0"/>
        <v>1040600057</v>
      </c>
      <c r="E69" s="31" t="str">
        <f>VLOOKUP(D69,[2]SKU!A:AK,2,0)</f>
        <v>PD电源</v>
      </c>
      <c r="F69" s="32" t="str">
        <f>VLOOKUP(D69,[2]SKU!A:AK,8,0)</f>
        <v>三维扫描仪备品备件</v>
      </c>
      <c r="G69" s="32" t="s">
        <v>15</v>
      </c>
      <c r="H69" s="38" t="str">
        <f>VLOOKUP(D69,[2]SKU!A:AK,26,0)</f>
        <v>RH-PD65W-1</v>
      </c>
      <c r="I69" s="22">
        <f>VLOOKUP(A69,[2]谷仓DE!A:Q,15,0)</f>
        <v>8</v>
      </c>
      <c r="J69" s="23" t="str">
        <f>IF(I69=0,"-",IF(VLOOKUP(A69,[2]谷仓DE库龄!A:I,9,0)&gt;365,"≥1 Year",IF(VLOOKUP(A69,[2]谷仓DE库龄!A:I,9,0)&gt;270,"≥9 Months",IF(VLOOKUP(A69,[2]谷仓DE库龄!A:I,9,0)&gt;180,"≥6 Months",IF(VLOOKUP(A69,[2]谷仓DE库龄!A:I,9,0)&gt;90,"≥3 Months","正常")))))</f>
        <v>≥9 Months</v>
      </c>
      <c r="K69" s="24" t="str">
        <f>IF(VLOOKUP(A69,[2]谷仓DE!A:P,12,0)=0,"",VLOOKUP(A69,[2]谷仓DE!A:P,12,0))</f>
        <v/>
      </c>
      <c r="L69" s="10"/>
    </row>
    <row r="70" customFormat="1" ht="15.6" spans="1:12">
      <c r="A70" s="28" t="s">
        <v>83</v>
      </c>
      <c r="B70" s="33" t="s">
        <v>147</v>
      </c>
      <c r="C70" s="34" t="s">
        <v>122</v>
      </c>
      <c r="D70" s="34">
        <v>1300100240</v>
      </c>
      <c r="E70" s="31" t="s">
        <v>84</v>
      </c>
      <c r="F70" s="32" t="s">
        <v>80</v>
      </c>
      <c r="G70" s="32" t="s">
        <v>85</v>
      </c>
      <c r="H70" s="38" t="s">
        <v>82</v>
      </c>
      <c r="I70" s="22">
        <f>VLOOKUP(A70,[2]谷仓DE!A:Q,15,0)</f>
        <v>42</v>
      </c>
      <c r="J70" s="23" t="str">
        <f>IF(I70=0,"-",IF(VLOOKUP(A70,[2]谷仓DE库龄!A:I,9,0)&gt;365,"≥1 Year",IF(VLOOKUP(A70,[2]谷仓DE库龄!A:I,9,0)&gt;270,"≥9 Months",IF(VLOOKUP(A70,[2]谷仓DE库龄!A:I,9,0)&gt;180,"≥6 Months",IF(VLOOKUP(A70,[2]谷仓DE库龄!A:I,9,0)&gt;90,"≥3 Months","正常")))))</f>
        <v>≥6 Months</v>
      </c>
      <c r="K70" s="24" t="str">
        <f>IF(VLOOKUP(A70,[2]谷仓DE!A:P,12,0)=0,"",VLOOKUP(A70,[2]谷仓DE!A:P,12,0))</f>
        <v/>
      </c>
      <c r="L70" s="10"/>
    </row>
    <row r="71" customFormat="1" ht="15.6" spans="1:12">
      <c r="A71" s="28" t="s">
        <v>78</v>
      </c>
      <c r="B71" s="33" t="s">
        <v>148</v>
      </c>
      <c r="C71" s="34" t="s">
        <v>122</v>
      </c>
      <c r="D71" s="34">
        <v>1300100246</v>
      </c>
      <c r="E71" s="31" t="s">
        <v>79</v>
      </c>
      <c r="F71" s="32" t="s">
        <v>80</v>
      </c>
      <c r="G71" s="32" t="s">
        <v>81</v>
      </c>
      <c r="H71" s="38" t="s">
        <v>82</v>
      </c>
      <c r="I71" s="22">
        <f>VLOOKUP(A71,[2]谷仓DE!A:Q,15,0)</f>
        <v>125</v>
      </c>
      <c r="J71" s="23" t="str">
        <f>IF(I71=0,"-",IF(VLOOKUP(A71,[2]谷仓DE库龄!A:I,9,0)&gt;365,"≥1 Year",IF(VLOOKUP(A71,[2]谷仓DE库龄!A:I,9,0)&gt;270,"≥9 Months",IF(VLOOKUP(A71,[2]谷仓DE库龄!A:I,9,0)&gt;180,"≥6 Months",IF(VLOOKUP(A71,[2]谷仓DE库龄!A:I,9,0)&gt;90,"≥3 Months","正常")))))</f>
        <v>≥6 Months</v>
      </c>
      <c r="K71" s="24" t="str">
        <f>IF(VLOOKUP(A71,[2]谷仓DE!A:P,12,0)=0,"",VLOOKUP(A71,[2]谷仓DE!A:P,12,0))</f>
        <v/>
      </c>
      <c r="L71" s="10"/>
    </row>
    <row r="72" customFormat="1" ht="15.6" spans="1:12">
      <c r="A72" s="85" t="s">
        <v>93</v>
      </c>
      <c r="B72" s="33">
        <v>1300100241</v>
      </c>
      <c r="C72" s="34" t="s">
        <v>122</v>
      </c>
      <c r="D72" s="34">
        <v>1300100241</v>
      </c>
      <c r="E72" s="31" t="s">
        <v>94</v>
      </c>
      <c r="F72" s="32" t="s">
        <v>95</v>
      </c>
      <c r="G72" s="32" t="s">
        <v>96</v>
      </c>
      <c r="H72" s="38" t="s">
        <v>96</v>
      </c>
      <c r="I72" s="22">
        <f>VLOOKUP(A72,[2]谷仓DE!A:Q,15,0)</f>
        <v>0</v>
      </c>
      <c r="J72" s="23" t="str">
        <f>IF(I72=0,"-",IF(VLOOKUP(A72,[2]谷仓DE库龄!A:I,9,0)&gt;365,"≥1 Year",IF(VLOOKUP(A72,[2]谷仓DE库龄!A:I,9,0)&gt;270,"≥9 Months",IF(VLOOKUP(A72,[2]谷仓DE库龄!A:I,9,0)&gt;180,"≥6 Months",IF(VLOOKUP(A72,[2]谷仓DE库龄!A:I,9,0)&gt;90,"≥3 Months","正常")))))</f>
        <v>-</v>
      </c>
      <c r="K72" s="24" t="str">
        <f>IF(VLOOKUP(A72,[2]谷仓DE!A:P,12,0)=0,"",VLOOKUP(A72,[2]谷仓DE!A:P,12,0))</f>
        <v/>
      </c>
      <c r="L72" s="10"/>
    </row>
    <row r="73" customFormat="1" ht="15.6" spans="1:12">
      <c r="A73" s="28" t="s">
        <v>88</v>
      </c>
      <c r="B73" s="33">
        <v>1300100250</v>
      </c>
      <c r="C73" s="34" t="s">
        <v>122</v>
      </c>
      <c r="D73" s="34">
        <v>1300100250</v>
      </c>
      <c r="E73" s="31" t="s">
        <v>89</v>
      </c>
      <c r="F73" s="32" t="s">
        <v>28</v>
      </c>
      <c r="G73" s="32" t="s">
        <v>15</v>
      </c>
      <c r="H73" s="38" t="s">
        <v>15</v>
      </c>
      <c r="I73" s="22">
        <f>VLOOKUP(A73,[2]谷仓DE!A:Q,15,0)</f>
        <v>56</v>
      </c>
      <c r="J73" s="23" t="str">
        <f>IF(I73=0,"-",IF(VLOOKUP(A73,[2]谷仓DE库龄!A:I,9,0)&gt;365,"≥1 Year",IF(VLOOKUP(A73,[2]谷仓DE库龄!A:I,9,0)&gt;270,"≥9 Months",IF(VLOOKUP(A73,[2]谷仓DE库龄!A:I,9,0)&gt;180,"≥6 Months",IF(VLOOKUP(A73,[2]谷仓DE库龄!A:I,9,0)&gt;90,"≥3 Months","正常")))))</f>
        <v>≥3 Months</v>
      </c>
      <c r="K73" s="24" t="str">
        <f>IF(VLOOKUP(A73,[2]谷仓DE!A:P,12,0)=0,"",VLOOKUP(A73,[2]谷仓DE!A:P,12,0))</f>
        <v/>
      </c>
      <c r="L73" s="10"/>
    </row>
    <row r="74" customFormat="1" ht="15.6" spans="1:12">
      <c r="A74" s="28" t="s">
        <v>86</v>
      </c>
      <c r="B74" s="33" t="s">
        <v>149</v>
      </c>
      <c r="C74" s="34" t="s">
        <v>122</v>
      </c>
      <c r="D74" s="34">
        <v>1300100249</v>
      </c>
      <c r="E74" s="31" t="s">
        <v>87</v>
      </c>
      <c r="F74" s="32" t="s">
        <v>28</v>
      </c>
      <c r="G74" s="32" t="s">
        <v>32</v>
      </c>
      <c r="H74" s="38" t="s">
        <v>15</v>
      </c>
      <c r="I74" s="22">
        <f>VLOOKUP(A74,[2]谷仓DE!A:Q,15,0)</f>
        <v>36</v>
      </c>
      <c r="J74" s="23" t="str">
        <f>IF(I74=0,"-",IF(VLOOKUP(A74,[2]谷仓DE库龄!A:I,9,0)&gt;365,"≥1 Year",IF(VLOOKUP(A74,[2]谷仓DE库龄!A:I,9,0)&gt;270,"≥9 Months",IF(VLOOKUP(A74,[2]谷仓DE库龄!A:I,9,0)&gt;180,"≥6 Months",IF(VLOOKUP(A74,[2]谷仓DE库龄!A:I,9,0)&gt;90,"≥3 Months","正常")))))</f>
        <v>≥3 Months</v>
      </c>
      <c r="K74" s="24" t="str">
        <f>IF(VLOOKUP(A74,[2]谷仓DE!A:P,12,0)=0,"",VLOOKUP(A74,[2]谷仓DE!A:P,12,0))</f>
        <v/>
      </c>
      <c r="L74" s="10"/>
    </row>
    <row r="75" customFormat="1" ht="15.6" spans="1:12">
      <c r="A75" s="28" t="s">
        <v>90</v>
      </c>
      <c r="B75" s="33" t="s">
        <v>91</v>
      </c>
      <c r="C75" s="34" t="s">
        <v>122</v>
      </c>
      <c r="D75" s="34" t="s">
        <v>91</v>
      </c>
      <c r="E75" s="31" t="s">
        <v>92</v>
      </c>
      <c r="F75" s="32" t="s">
        <v>28</v>
      </c>
      <c r="G75" s="32" t="s">
        <v>92</v>
      </c>
      <c r="H75" s="38" t="s">
        <v>15</v>
      </c>
      <c r="I75" s="22">
        <f>VLOOKUP(A75,[2]谷仓DE!A:Q,15,0)</f>
        <v>42</v>
      </c>
      <c r="J75" s="23" t="str">
        <f>IF(I75=0,"-",IF(VLOOKUP(A75,[2]谷仓DE库龄!A:I,9,0)&gt;365,"≥1 Year",IF(VLOOKUP(A75,[2]谷仓DE库龄!A:I,9,0)&gt;270,"≥9 Months",IF(VLOOKUP(A75,[2]谷仓DE库龄!A:I,9,0)&gt;180,"≥6 Months",IF(VLOOKUP(A75,[2]谷仓DE库龄!A:I,9,0)&gt;90,"≥3 Months","正常")))))</f>
        <v>≥3 Months</v>
      </c>
      <c r="K75" s="24" t="str">
        <f>IF(VLOOKUP(A75,[2]谷仓DE!A:P,12,0)=0,"",VLOOKUP(A75,[2]谷仓DE!A:P,12,0))</f>
        <v/>
      </c>
      <c r="L75" s="10"/>
    </row>
    <row r="76" customFormat="1" ht="15.6" spans="1:12">
      <c r="A76" s="85" t="s">
        <v>107</v>
      </c>
      <c r="B76" s="33">
        <v>1300100263</v>
      </c>
      <c r="C76" s="34" t="s">
        <v>122</v>
      </c>
      <c r="D76" s="33">
        <v>1300100263</v>
      </c>
      <c r="E76" s="31" t="s">
        <v>109</v>
      </c>
      <c r="F76" s="32" t="s">
        <v>110</v>
      </c>
      <c r="G76" s="32" t="s">
        <v>111</v>
      </c>
      <c r="H76" s="32" t="s">
        <v>111</v>
      </c>
      <c r="I76" s="22">
        <f>VLOOKUP(A76,[2]谷仓DE!A:Q,15,0)</f>
        <v>163</v>
      </c>
      <c r="J76" s="23" t="str">
        <f>IF(I76=0,"-",IF(VLOOKUP(A76,[2]谷仓DE库龄!A:I,9,0)&gt;365,"≥1 Year",IF(VLOOKUP(A76,[2]谷仓DE库龄!A:I,9,0)&gt;270,"≥9 Months",IF(VLOOKUP(A76,[2]谷仓DE库龄!A:I,9,0)&gt;180,"≥6 Months",IF(VLOOKUP(A76,[2]谷仓DE库龄!A:I,9,0)&gt;90,"≥3 Months","正常")))))</f>
        <v>正常</v>
      </c>
      <c r="K76" s="24" t="str">
        <f>IF(VLOOKUP(A76,[2]谷仓DE!A:P,12,0)=0,"",VLOOKUP(A76,[2]谷仓DE!A:P,12,0))</f>
        <v/>
      </c>
      <c r="L76" s="10"/>
    </row>
    <row r="77" customFormat="1" ht="15.6" spans="1:12">
      <c r="A77" s="28" t="s">
        <v>103</v>
      </c>
      <c r="B77" s="33" t="s">
        <v>104</v>
      </c>
      <c r="C77" s="34" t="s">
        <v>122</v>
      </c>
      <c r="D77" s="33" t="s">
        <v>104</v>
      </c>
      <c r="E77" s="31" t="s">
        <v>105</v>
      </c>
      <c r="F77" s="32" t="s">
        <v>100</v>
      </c>
      <c r="G77" s="32" t="s">
        <v>106</v>
      </c>
      <c r="H77" s="32" t="s">
        <v>102</v>
      </c>
      <c r="I77" s="22">
        <f>VLOOKUP(A77,[2]谷仓DE!A:Q,15,0)</f>
        <v>70</v>
      </c>
      <c r="J77" s="23" t="str">
        <f>IF(I77=0,"-",IF(VLOOKUP(A77,[2]谷仓DE库龄!A:I,9,0)&gt;365,"≥1 Year",IF(VLOOKUP(A77,[2]谷仓DE库龄!A:I,9,0)&gt;270,"≥9 Months",IF(VLOOKUP(A77,[2]谷仓DE库龄!A:I,9,0)&gt;180,"≥6 Months",IF(VLOOKUP(A77,[2]谷仓DE库龄!A:I,9,0)&gt;90,"≥3 Months","正常")))))</f>
        <v>正常</v>
      </c>
      <c r="K77" s="24" t="str">
        <f>IF(VLOOKUP(A77,[2]谷仓DE!A:P,12,0)=0,"",VLOOKUP(A77,[2]谷仓DE!A:P,12,0))</f>
        <v/>
      </c>
      <c r="L77" s="10"/>
    </row>
    <row r="78" customFormat="1" ht="15.6" spans="1:12">
      <c r="A78" s="85" t="s">
        <v>97</v>
      </c>
      <c r="B78" s="33">
        <v>1300100262</v>
      </c>
      <c r="C78" s="34" t="s">
        <v>122</v>
      </c>
      <c r="D78" s="33">
        <v>1300100262</v>
      </c>
      <c r="E78" s="31" t="s">
        <v>99</v>
      </c>
      <c r="F78" s="32" t="s">
        <v>100</v>
      </c>
      <c r="G78" s="32" t="s">
        <v>101</v>
      </c>
      <c r="H78" s="32" t="s">
        <v>102</v>
      </c>
      <c r="I78" s="22">
        <f>VLOOKUP(A78,[2]谷仓DE!A:Q,15,0)</f>
        <v>43</v>
      </c>
      <c r="J78" s="23" t="str">
        <f>IF(I78=0,"-",IF(VLOOKUP(A78,[2]谷仓DE库龄!A:I,9,0)&gt;365,"≥1 Year",IF(VLOOKUP(A78,[2]谷仓DE库龄!A:I,9,0)&gt;270,"≥9 Months",IF(VLOOKUP(A78,[2]谷仓DE库龄!A:I,9,0)&gt;180,"≥6 Months",IF(VLOOKUP(A78,[2]谷仓DE库龄!A:I,9,0)&gt;90,"≥3 Months","正常")))))</f>
        <v>正常</v>
      </c>
      <c r="K78" s="24" t="str">
        <f>IF(VLOOKUP(A78,[2]谷仓DE!A:P,12,0)=0,"",VLOOKUP(A78,[2]谷仓DE!A:P,12,0))</f>
        <v/>
      </c>
      <c r="L78" s="10"/>
    </row>
    <row r="79" customFormat="1" ht="15.6" spans="1:12">
      <c r="A79" s="28" t="s">
        <v>112</v>
      </c>
      <c r="B79" s="33" t="s">
        <v>113</v>
      </c>
      <c r="C79" s="34" t="s">
        <v>122</v>
      </c>
      <c r="D79" s="33" t="s">
        <v>113</v>
      </c>
      <c r="E79" s="31" t="s">
        <v>114</v>
      </c>
      <c r="F79" s="32" t="s">
        <v>115</v>
      </c>
      <c r="G79" s="32" t="s">
        <v>116</v>
      </c>
      <c r="H79" s="32" t="s">
        <v>117</v>
      </c>
      <c r="I79" s="22">
        <f>VLOOKUP(A79,[2]谷仓DE!A:Q,15,0)</f>
        <v>1</v>
      </c>
      <c r="J79" s="23" t="str">
        <f>IF(I79=0,"-",IF(VLOOKUP(A79,[2]谷仓DE库龄!A:I,9,0)&gt;365,"≥1 Year",IF(VLOOKUP(A79,[2]谷仓DE库龄!A:I,9,0)&gt;270,"≥9 Months",IF(VLOOKUP(A79,[2]谷仓DE库龄!A:I,9,0)&gt;180,"≥6 Months",IF(VLOOKUP(A79,[2]谷仓DE库龄!A:I,9,0)&gt;90,"≥3 Months","正常")))))</f>
        <v>正常</v>
      </c>
      <c r="K79" s="24">
        <f>IF(VLOOKUP(A79,[2]谷仓DE!A:P,12,0)=0,"",VLOOKUP(A79,[2]谷仓DE!A:P,12,0))</f>
        <v>200</v>
      </c>
      <c r="L79" s="10"/>
    </row>
    <row r="80" customFormat="1" ht="15.6" spans="1:12">
      <c r="A80" s="39" t="s">
        <v>150</v>
      </c>
      <c r="B80" s="40" t="s">
        <v>151</v>
      </c>
      <c r="C80" s="41" t="s">
        <v>152</v>
      </c>
      <c r="D80" s="41">
        <v>1300100067</v>
      </c>
      <c r="E80" s="42" t="s">
        <v>153</v>
      </c>
      <c r="F80" s="43" t="str">
        <f>VLOOKUP(D80,[2]SKU!A:AK,8,0)</f>
        <v>三维扫描仪-JML1</v>
      </c>
      <c r="G80" s="43" t="s">
        <v>123</v>
      </c>
      <c r="H80" s="44" t="s">
        <v>129</v>
      </c>
      <c r="I80" s="22">
        <f>_xlfn.IFNA(VLOOKUP(A80,[2]库存AMZ!A:CH,8,0),"0")</f>
        <v>5</v>
      </c>
      <c r="J80" s="23" t="str">
        <f>_xlfn.IFNA(IF(I80=0,"-",IF(VLOOKUP(A80,[2]库存AMZ!A:CH,14,0)&gt;0,"≥1 Year",IF(VLOOKUP(A80,[2]库存AMZ!A:CH,13,0)&gt;0,"≥9 Months",IF(VLOOKUP(A80,[2]库存AMZ!A:CH,12,0)&gt;0,"≥6 Months",IF(VLOOKUP(A80,[2]库存AMZ!A:CH,11,0)&gt;0,"≥3 Months","正常"))))),"-")</f>
        <v>≥6 Months</v>
      </c>
      <c r="K80" s="24">
        <f>_xlfn.IFNA(VLOOKUP(A80,[2]库存AMZ!A:CN,56,0),"")</f>
        <v>0</v>
      </c>
      <c r="L80" s="10">
        <f>_xlfn.IFNA(VLOOKUP(A80,[2]库存AMZ!A:CH,59,0),"")</f>
        <v>0</v>
      </c>
    </row>
    <row r="81" customFormat="1" ht="15.6" spans="1:12">
      <c r="A81" s="39" t="s">
        <v>154</v>
      </c>
      <c r="B81" s="40" t="s">
        <v>155</v>
      </c>
      <c r="C81" s="41" t="s">
        <v>152</v>
      </c>
      <c r="D81" s="41">
        <v>1300100068</v>
      </c>
      <c r="E81" s="42" t="s">
        <v>156</v>
      </c>
      <c r="F81" s="43" t="str">
        <f>VLOOKUP(D81,[2]SKU!A:AK,8,0)</f>
        <v>三维扫描仪-JML1</v>
      </c>
      <c r="G81" s="43" t="s">
        <v>128</v>
      </c>
      <c r="H81" s="44" t="s">
        <v>129</v>
      </c>
      <c r="I81" s="22">
        <f>_xlfn.IFNA(VLOOKUP(A81,[2]库存AMZ!A:CH,8,0),"0")</f>
        <v>7</v>
      </c>
      <c r="J81" s="23" t="str">
        <f>_xlfn.IFNA(IF(I81=0,"-",IF(VLOOKUP(A81,[2]库存AMZ!A:CH,14,0)&gt;0,"≥1 Year",IF(VLOOKUP(A81,[2]库存AMZ!A:CH,13,0)&gt;0,"≥9 Months",IF(VLOOKUP(A81,[2]库存AMZ!A:CH,12,0)&gt;0,"≥6 Months",IF(VLOOKUP(A81,[2]库存AMZ!A:CH,11,0)&gt;0,"≥3 Months","正常"))))),"-")</f>
        <v>≥6 Months</v>
      </c>
      <c r="K81" s="24">
        <f>_xlfn.IFNA(VLOOKUP(A81,[2]库存AMZ!A:CN,56,0),"")</f>
        <v>0</v>
      </c>
      <c r="L81" s="10">
        <f>_xlfn.IFNA(VLOOKUP(A81,[2]库存AMZ!A:CH,59,0),"")</f>
        <v>0</v>
      </c>
    </row>
    <row r="82" customFormat="1" ht="15.6" spans="1:12">
      <c r="A82" s="39" t="s">
        <v>157</v>
      </c>
      <c r="B82" s="40" t="s">
        <v>158</v>
      </c>
      <c r="C82" s="41" t="s">
        <v>152</v>
      </c>
      <c r="D82" s="41">
        <v>1300100069</v>
      </c>
      <c r="E82" s="42" t="s">
        <v>159</v>
      </c>
      <c r="F82" s="43" t="str">
        <f>VLOOKUP(D82,[2]SKU!A:AK,8,0)</f>
        <v>三维扫描仪-JML1</v>
      </c>
      <c r="G82" s="43" t="s">
        <v>131</v>
      </c>
      <c r="H82" s="44" t="s">
        <v>129</v>
      </c>
      <c r="I82" s="22" t="str">
        <f>_xlfn.IFNA(VLOOKUP(A82,[2]库存AMZ!A:CH,8,0),"0")</f>
        <v>0</v>
      </c>
      <c r="J82" s="23" t="str">
        <f>_xlfn.IFNA(IF(I82=0,"-",IF(VLOOKUP(A82,[2]库存AMZ!A:CH,14,0)&gt;0,"≥1 Year",IF(VLOOKUP(A82,[2]库存AMZ!A:CH,13,0)&gt;0,"≥9 Months",IF(VLOOKUP(A82,[2]库存AMZ!A:CH,12,0)&gt;0,"≥6 Months",IF(VLOOKUP(A82,[2]库存AMZ!A:CH,11,0)&gt;0,"≥3 Months","正常"))))),"-")</f>
        <v>-</v>
      </c>
      <c r="K82" s="24" t="str">
        <f>_xlfn.IFNA(VLOOKUP(A82,[2]库存AMZ!A:CN,56,0),"")</f>
        <v/>
      </c>
      <c r="L82" s="10" t="str">
        <f>_xlfn.IFNA(VLOOKUP(A82,[2]库存AMZ!A:CH,59,0),"")</f>
        <v/>
      </c>
    </row>
    <row r="83" customFormat="1" ht="24" spans="1:12">
      <c r="A83" s="39" t="s">
        <v>160</v>
      </c>
      <c r="B83" s="40" t="s">
        <v>161</v>
      </c>
      <c r="C83" s="41" t="s">
        <v>152</v>
      </c>
      <c r="D83" s="41">
        <v>1300100026</v>
      </c>
      <c r="E83" s="42" t="str">
        <f>VLOOKUP(D83,[2]SKU!A:AK,2,0)</f>
        <v>三维扫描仪Magic Swift Plus彩色款升级版(日版)</v>
      </c>
      <c r="F83" s="45" t="str">
        <f>VLOOKUP(D83,[2]SKU!A:AK,8,0)</f>
        <v>三维扫描仪-JMSC</v>
      </c>
      <c r="G83" s="45" t="s">
        <v>162</v>
      </c>
      <c r="H83" s="44" t="str">
        <f>VLOOKUP(D83,[2]SKU!A:AK,26,0)</f>
        <v>JMSC</v>
      </c>
      <c r="I83" s="22">
        <f>_xlfn.IFNA(VLOOKUP(A83,[2]库存AMZ!A:CH,8,0),"0")</f>
        <v>2</v>
      </c>
      <c r="J83" s="23" t="str">
        <f>_xlfn.IFNA(IF(I83=0,"-",IF(VLOOKUP(A83,[2]库存AMZ!A:CH,14,0)&gt;0,"≥1 Year",IF(VLOOKUP(A83,[2]库存AMZ!A:CH,13,0)&gt;0,"≥9 Months",IF(VLOOKUP(A83,[2]库存AMZ!A:CH,12,0)&gt;0,"≥6 Months",IF(VLOOKUP(A83,[2]库存AMZ!A:CH,11,0)&gt;0,"≥3 Months","正常"))))),"-")</f>
        <v>≥3 Months</v>
      </c>
      <c r="K83" s="24">
        <f>_xlfn.IFNA(VLOOKUP(A83,[2]库存AMZ!A:CN,56,0),"")</f>
        <v>0</v>
      </c>
      <c r="L83" s="10">
        <f>_xlfn.IFNA(VLOOKUP(A83,[2]库存AMZ!A:CH,59,0),"")</f>
        <v>0</v>
      </c>
    </row>
    <row r="84" customFormat="1" ht="24" spans="1:12">
      <c r="A84" s="46" t="s">
        <v>163</v>
      </c>
      <c r="B84" s="40" t="s">
        <v>164</v>
      </c>
      <c r="C84" s="41" t="s">
        <v>152</v>
      </c>
      <c r="D84" s="41">
        <v>1300100026</v>
      </c>
      <c r="E84" s="42" t="str">
        <f>VLOOKUP(D84,[2]SKU!A:AK,2,0)</f>
        <v>三维扫描仪Magic Swift Plus彩色款升级版(日版)</v>
      </c>
      <c r="F84" s="45" t="str">
        <f>VLOOKUP(D84,[2]SKU!A:AK,8,0)</f>
        <v>三维扫描仪-JMSC</v>
      </c>
      <c r="G84" s="45" t="s">
        <v>162</v>
      </c>
      <c r="H84" s="44" t="str">
        <f>VLOOKUP(D84,[2]SKU!A:AK,26,0)</f>
        <v>JMSC</v>
      </c>
      <c r="I84" s="22">
        <f>_xlfn.IFNA(VLOOKUP(A84,[2]库存AMZ!A:CH,8,0),"0")</f>
        <v>12</v>
      </c>
      <c r="J84" s="23" t="str">
        <f>_xlfn.IFNA(IF(I84=0,"-",IF(VLOOKUP(A84,[2]库存AMZ!A:CH,14,0)&gt;0,"≥1 Year",IF(VLOOKUP(A84,[2]库存AMZ!A:CH,13,0)&gt;0,"≥9 Months",IF(VLOOKUP(A84,[2]库存AMZ!A:CH,12,0)&gt;0,"≥6 Months",IF(VLOOKUP(A84,[2]库存AMZ!A:CH,11,0)&gt;0,"≥3 Months","正常"))))),"-")</f>
        <v>≥6 Months</v>
      </c>
      <c r="K84" s="24">
        <f>_xlfn.IFNA(VLOOKUP(A84,[2]库存AMZ!A:CN,56,0),"")</f>
        <v>0</v>
      </c>
      <c r="L84" s="10">
        <f>_xlfn.IFNA(VLOOKUP(A84,[2]库存AMZ!A:CH,59,0),"")</f>
        <v>0</v>
      </c>
    </row>
    <row r="85" ht="15.6" spans="1:12">
      <c r="A85" s="39" t="s">
        <v>165</v>
      </c>
      <c r="B85" s="40" t="s">
        <v>166</v>
      </c>
      <c r="C85" s="41" t="s">
        <v>152</v>
      </c>
      <c r="D85" s="41">
        <v>1300100044</v>
      </c>
      <c r="E85" s="42" t="str">
        <f>VLOOKUP(D85,[2]SKU!A:AK,2,0)</f>
        <v>三维扫描仪Mole基础款(英文版)</v>
      </c>
      <c r="F85" s="45" t="str">
        <f>VLOOKUP(D85,[2]SKU!A:AK,8,0)</f>
        <v>三维扫描仪-JMM1</v>
      </c>
      <c r="G85" s="45" t="s">
        <v>134</v>
      </c>
      <c r="H85" s="44" t="str">
        <f>VLOOKUP(D85,[2]SKU!A:AK,26,0)</f>
        <v>JMM1</v>
      </c>
      <c r="I85" s="22">
        <f>_xlfn.IFNA(VLOOKUP(A85,[2]库存AMZ!A:CH,8,0),"0")</f>
        <v>4</v>
      </c>
      <c r="J85" s="23" t="str">
        <f>_xlfn.IFNA(IF(I85=0,"-",IF(VLOOKUP(A85,[2]库存AMZ!A:CH,14,0)&gt;0,"≥1 Year",IF(VLOOKUP(A85,[2]库存AMZ!A:CH,13,0)&gt;0,"≥9 Months",IF(VLOOKUP(A85,[2]库存AMZ!A:CH,12,0)&gt;0,"≥6 Months",IF(VLOOKUP(A85,[2]库存AMZ!A:CH,11,0)&gt;0,"≥3 Months","正常"))))),"-")</f>
        <v>≥1 Year</v>
      </c>
      <c r="K85" s="24">
        <f>_xlfn.IFNA(VLOOKUP(A85,[2]库存AMZ!A:CN,56,0),"")</f>
        <v>0</v>
      </c>
      <c r="L85" s="10">
        <f>_xlfn.IFNA(VLOOKUP(A85,[2]库存AMZ!A:CH,59,0),"")</f>
        <v>0</v>
      </c>
    </row>
    <row r="86" ht="15.6" spans="1:12">
      <c r="A86" s="39" t="s">
        <v>167</v>
      </c>
      <c r="B86" s="40" t="s">
        <v>168</v>
      </c>
      <c r="C86" s="41" t="s">
        <v>152</v>
      </c>
      <c r="D86" s="41">
        <v>1300100044</v>
      </c>
      <c r="E86" s="42" t="str">
        <f>VLOOKUP(D86,[2]SKU!A:AK,2,0)</f>
        <v>三维扫描仪Mole基础款(英文版)</v>
      </c>
      <c r="F86" s="45" t="str">
        <f>VLOOKUP(D86,[2]SKU!A:AK,8,0)</f>
        <v>三维扫描仪-JMM1</v>
      </c>
      <c r="G86" s="45" t="s">
        <v>134</v>
      </c>
      <c r="H86" s="44" t="str">
        <f>VLOOKUP(D86,[2]SKU!A:AK,26,0)</f>
        <v>JMM1</v>
      </c>
      <c r="I86" s="22">
        <f>_xlfn.IFNA(VLOOKUP(A86,[2]库存AMZ!A:CH,8,0),"0")</f>
        <v>17</v>
      </c>
      <c r="J86" s="23" t="str">
        <f>_xlfn.IFNA(IF(I86=0,"-",IF(VLOOKUP(A86,[2]库存AMZ!A:CH,14,0)&gt;0,"≥1 Year",IF(VLOOKUP(A86,[2]库存AMZ!A:CH,13,0)&gt;0,"≥9 Months",IF(VLOOKUP(A86,[2]库存AMZ!A:CH,12,0)&gt;0,"≥6 Months",IF(VLOOKUP(A86,[2]库存AMZ!A:CH,11,0)&gt;0,"≥3 Months","正常"))))),"-")</f>
        <v>≥6 Months</v>
      </c>
      <c r="K86" s="24">
        <f>_xlfn.IFNA(VLOOKUP(A86,[2]库存AMZ!A:CN,56,0),"")</f>
        <v>0</v>
      </c>
      <c r="L86" s="10">
        <f>_xlfn.IFNA(VLOOKUP(A86,[2]库存AMZ!A:CH,59,0),"")</f>
        <v>0</v>
      </c>
    </row>
    <row r="87" ht="15.6" spans="1:12">
      <c r="A87" s="39" t="s">
        <v>169</v>
      </c>
      <c r="B87" s="40" t="s">
        <v>170</v>
      </c>
      <c r="C87" s="41" t="s">
        <v>152</v>
      </c>
      <c r="D87" s="41">
        <v>1300100049</v>
      </c>
      <c r="E87" s="42" t="str">
        <f>VLOOKUP(D87,[2]SKU!A:AK,2,0)</f>
        <v>三维扫描仪Mole升级款(日文版)</v>
      </c>
      <c r="F87" s="45" t="str">
        <f>VLOOKUP(D87,[2]SKU!A:AK,8,0)</f>
        <v>三维扫描仪-JMM1</v>
      </c>
      <c r="G87" s="45" t="s">
        <v>136</v>
      </c>
      <c r="H87" s="44" t="str">
        <f>VLOOKUP(D87,[2]SKU!A:AK,26,0)</f>
        <v>JMM1</v>
      </c>
      <c r="I87" s="22">
        <f>_xlfn.IFNA(VLOOKUP(A87,[2]库存AMZ!A:CH,8,0),"0")</f>
        <v>18</v>
      </c>
      <c r="J87" s="23" t="str">
        <f>_xlfn.IFNA(IF(I87=0,"-",IF(VLOOKUP(A87,[2]库存AMZ!A:CH,14,0)&gt;0,"≥1 Year",IF(VLOOKUP(A87,[2]库存AMZ!A:CH,13,0)&gt;0,"≥9 Months",IF(VLOOKUP(A87,[2]库存AMZ!A:CH,12,0)&gt;0,"≥6 Months",IF(VLOOKUP(A87,[2]库存AMZ!A:CH,11,0)&gt;0,"≥3 Months","正常"))))),"-")</f>
        <v>≥1 Year</v>
      </c>
      <c r="K87" s="24">
        <f>_xlfn.IFNA(VLOOKUP(A87,[2]库存AMZ!A:CN,56,0),"")</f>
        <v>0</v>
      </c>
      <c r="L87" s="10">
        <f>_xlfn.IFNA(VLOOKUP(A87,[2]库存AMZ!A:CH,59,0),"")</f>
        <v>0</v>
      </c>
    </row>
    <row r="88" ht="15.6" spans="1:12">
      <c r="A88" s="39" t="s">
        <v>171</v>
      </c>
      <c r="B88" s="40" t="s">
        <v>172</v>
      </c>
      <c r="C88" s="41" t="s">
        <v>152</v>
      </c>
      <c r="D88" s="41">
        <v>1300100049</v>
      </c>
      <c r="E88" s="42" t="str">
        <f>VLOOKUP(D88,[2]SKU!A:AK,2,0)</f>
        <v>三维扫描仪Mole升级款(日文版)</v>
      </c>
      <c r="F88" s="45" t="str">
        <f>VLOOKUP(D88,[2]SKU!A:AK,8,0)</f>
        <v>三维扫描仪-JMM1</v>
      </c>
      <c r="G88" s="45" t="s">
        <v>136</v>
      </c>
      <c r="H88" s="44" t="str">
        <f>VLOOKUP(D88,[2]SKU!A:AK,26,0)</f>
        <v>JMM1</v>
      </c>
      <c r="I88" s="22">
        <f>_xlfn.IFNA(VLOOKUP(A88,[2]库存AMZ!A:CH,8,0),"0")</f>
        <v>9</v>
      </c>
      <c r="J88" s="23" t="str">
        <f>_xlfn.IFNA(IF(I88=0,"-",IF(VLOOKUP(A88,[2]库存AMZ!A:CH,14,0)&gt;0,"≥1 Year",IF(VLOOKUP(A88,[2]库存AMZ!A:CH,13,0)&gt;0,"≥9 Months",IF(VLOOKUP(A88,[2]库存AMZ!A:CH,12,0)&gt;0,"≥6 Months",IF(VLOOKUP(A88,[2]库存AMZ!A:CH,11,0)&gt;0,"≥3 Months","正常"))))),"-")</f>
        <v>≥1 Year</v>
      </c>
      <c r="K88" s="24">
        <f>_xlfn.IFNA(VLOOKUP(A88,[2]库存AMZ!A:CN,56,0),"")</f>
        <v>0</v>
      </c>
      <c r="L88" s="10">
        <f>_xlfn.IFNA(VLOOKUP(A88,[2]库存AMZ!A:CH,59,0),"")</f>
        <v>0</v>
      </c>
    </row>
    <row r="89" customFormat="1" ht="15.6" spans="1:12">
      <c r="A89" s="39" t="s">
        <v>173</v>
      </c>
      <c r="B89" s="40" t="s">
        <v>174</v>
      </c>
      <c r="C89" s="41" t="s">
        <v>152</v>
      </c>
      <c r="D89" s="41">
        <v>1300100049</v>
      </c>
      <c r="E89" s="42" t="str">
        <f>VLOOKUP(D89,[2]SKU!A:AK,2,0)</f>
        <v>三维扫描仪Mole升级款(日文版)</v>
      </c>
      <c r="F89" s="45" t="str">
        <f>VLOOKUP(D89,[2]SKU!A:AK,8,0)</f>
        <v>三维扫描仪-JMM1</v>
      </c>
      <c r="G89" s="45" t="s">
        <v>136</v>
      </c>
      <c r="H89" s="44" t="str">
        <f>VLOOKUP(D89,[2]SKU!A:AK,26,0)</f>
        <v>JMM1</v>
      </c>
      <c r="I89" s="22">
        <f>_xlfn.IFNA(VLOOKUP(A89,[2]库存AMZ!A:CH,8,0),"0")</f>
        <v>15</v>
      </c>
      <c r="J89" s="23" t="str">
        <f>_xlfn.IFNA(IF(I89=0,"-",IF(VLOOKUP(A89,[2]库存AMZ!A:CH,14,0)&gt;0,"≥1 Year",IF(VLOOKUP(A89,[2]库存AMZ!A:CH,13,0)&gt;0,"≥9 Months",IF(VLOOKUP(A89,[2]库存AMZ!A:CH,12,0)&gt;0,"≥6 Months",IF(VLOOKUP(A89,[2]库存AMZ!A:CH,11,0)&gt;0,"≥3 Months","正常"))))),"-")</f>
        <v>≥6 Months</v>
      </c>
      <c r="K89" s="24">
        <f>_xlfn.IFNA(VLOOKUP(A89,[2]库存AMZ!A:CN,56,0),"")</f>
        <v>0</v>
      </c>
      <c r="L89" s="10">
        <f>_xlfn.IFNA(VLOOKUP(A89,[2]库存AMZ!A:CH,59,0),"")</f>
        <v>0</v>
      </c>
    </row>
    <row r="90" customFormat="1" ht="21.6" spans="1:12">
      <c r="A90" s="39" t="s">
        <v>175</v>
      </c>
      <c r="B90" s="40" t="s">
        <v>176</v>
      </c>
      <c r="C90" s="41" t="s">
        <v>152</v>
      </c>
      <c r="D90" s="41">
        <v>1300100222</v>
      </c>
      <c r="E90" s="42" t="s">
        <v>23</v>
      </c>
      <c r="F90" s="45" t="str">
        <f>VLOOKUP(D90,[2]SKU!A:AK,8,0)</f>
        <v>三维扫描仪-JMS1</v>
      </c>
      <c r="G90" s="45" t="s">
        <v>25</v>
      </c>
      <c r="H90" s="44" t="str">
        <f>VLOOKUP(D90,[2]SKU!A:AK,26,0)</f>
        <v>JMS1</v>
      </c>
      <c r="I90" s="22">
        <f>_xlfn.IFNA(VLOOKUP(A90,[2]库存AMZ!A:CH,8,0),"0")</f>
        <v>30</v>
      </c>
      <c r="J90" s="23" t="str">
        <f>_xlfn.IFNA(IF(I90=0,"-",IF(VLOOKUP(A90,[2]库存AMZ!A:CH,14,0)&gt;0,"≥1 Year",IF(VLOOKUP(A90,[2]库存AMZ!A:CH,13,0)&gt;0,"≥9 Months",IF(VLOOKUP(A90,[2]库存AMZ!A:CH,12,0)&gt;0,"≥6 Months",IF(VLOOKUP(A90,[2]库存AMZ!A:CH,11,0)&gt;0,"≥3 Months","正常"))))),"-")</f>
        <v>正常</v>
      </c>
      <c r="K90" s="24">
        <f>_xlfn.IFNA(VLOOKUP(A90,[2]库存AMZ!A:CN,56,0),"")</f>
        <v>0</v>
      </c>
      <c r="L90" s="10">
        <f>_xlfn.IFNA(VLOOKUP(A90,[2]库存AMZ!A:CH,59,0),"")</f>
        <v>0</v>
      </c>
    </row>
    <row r="91" customFormat="1" ht="15.6" spans="1:12">
      <c r="A91" s="39" t="s">
        <v>177</v>
      </c>
      <c r="B91" s="40" t="s">
        <v>178</v>
      </c>
      <c r="C91" s="41" t="s">
        <v>152</v>
      </c>
      <c r="D91" s="41">
        <v>1300100223</v>
      </c>
      <c r="E91" s="42" t="s">
        <v>179</v>
      </c>
      <c r="F91" s="45" t="str">
        <f>VLOOKUP(D91,[2]SKU!A:AK,8,0)</f>
        <v>三维扫描仪-JMS1</v>
      </c>
      <c r="G91" s="45" t="s">
        <v>180</v>
      </c>
      <c r="H91" s="44" t="str">
        <f>VLOOKUP(D91,[2]SKU!A:AK,26,0)</f>
        <v>JMS1</v>
      </c>
      <c r="I91" s="22">
        <f>_xlfn.IFNA(VLOOKUP(A91,[2]库存AMZ!A:CH,8,0),"0")</f>
        <v>10</v>
      </c>
      <c r="J91" s="23" t="str">
        <f>_xlfn.IFNA(IF(I91=0,"-",IF(VLOOKUP(A91,[2]库存AMZ!A:CH,14,0)&gt;0,"≥1 Year",IF(VLOOKUP(A91,[2]库存AMZ!A:CH,13,0)&gt;0,"≥9 Months",IF(VLOOKUP(A91,[2]库存AMZ!A:CH,12,0)&gt;0,"≥6 Months",IF(VLOOKUP(A91,[2]库存AMZ!A:CH,11,0)&gt;0,"≥3 Months","正常"))))),"-")</f>
        <v>≥3 Months</v>
      </c>
      <c r="K91" s="47">
        <v>24</v>
      </c>
      <c r="L91" s="10">
        <f>_xlfn.IFNA(VLOOKUP(A91,[2]库存AMZ!A:CH,59,0),"")</f>
        <v>1</v>
      </c>
    </row>
    <row r="92" customFormat="1" ht="21.6" spans="1:12">
      <c r="A92" s="39" t="s">
        <v>181</v>
      </c>
      <c r="B92" s="40" t="s">
        <v>182</v>
      </c>
      <c r="C92" s="41" t="s">
        <v>152</v>
      </c>
      <c r="D92" s="41">
        <v>1300100223</v>
      </c>
      <c r="E92" s="42" t="s">
        <v>179</v>
      </c>
      <c r="F92" s="45" t="str">
        <f>VLOOKUP(D92,[2]SKU!A:AK,8,0)</f>
        <v>三维扫描仪-JMS1</v>
      </c>
      <c r="G92" s="45" t="s">
        <v>180</v>
      </c>
      <c r="H92" s="44" t="str">
        <f>VLOOKUP(D92,[2]SKU!A:AK,26,0)</f>
        <v>JMS1</v>
      </c>
      <c r="I92" s="22">
        <f>_xlfn.IFNA(VLOOKUP(A92,[2]库存AMZ!A:CH,8,0),"0")</f>
        <v>5</v>
      </c>
      <c r="J92" s="23" t="str">
        <f>_xlfn.IFNA(IF(I92=0,"-",IF(VLOOKUP(A92,[2]库存AMZ!A:CH,14,0)&gt;0,"≥1 Year",IF(VLOOKUP(A92,[2]库存AMZ!A:CH,13,0)&gt;0,"≥9 Months",IF(VLOOKUP(A92,[2]库存AMZ!A:CH,12,0)&gt;0,"≥6 Months",IF(VLOOKUP(A92,[2]库存AMZ!A:CH,11,0)&gt;0,"≥3 Months","正常"))))),"-")</f>
        <v>正常</v>
      </c>
      <c r="K92" s="24">
        <f>_xlfn.IFNA(VLOOKUP(A92,[2]库存AMZ!A:CN,56,0),"")</f>
        <v>0</v>
      </c>
      <c r="L92" s="10">
        <f>_xlfn.IFNA(VLOOKUP(A92,[2]库存AMZ!A:CH,59,0),"")</f>
        <v>1</v>
      </c>
    </row>
    <row r="93" ht="21.6" spans="1:12">
      <c r="A93" s="39" t="s">
        <v>183</v>
      </c>
      <c r="B93" s="40" t="s">
        <v>184</v>
      </c>
      <c r="C93" s="41" t="s">
        <v>152</v>
      </c>
      <c r="D93" s="41">
        <v>1300100087</v>
      </c>
      <c r="E93" s="42" t="str">
        <f>VLOOKUP(D93,[2]SKU!A:AK,2,0)</f>
        <v>三维扫描仪Seal 基础款(美规)</v>
      </c>
      <c r="F93" s="45" t="str">
        <f>VLOOKUP(D93,[2]SKU!A:AK,8,0)</f>
        <v>三维扫描仪-JMS2</v>
      </c>
      <c r="G93" s="45" t="s">
        <v>21</v>
      </c>
      <c r="H93" s="44" t="str">
        <f>VLOOKUP(D93,[2]SKU!A:AK,26,0)</f>
        <v>JMS2</v>
      </c>
      <c r="I93" s="22">
        <f>_xlfn.IFNA(VLOOKUP(A93,[2]库存AMZ!A:CH,8,0),"0")</f>
        <v>31</v>
      </c>
      <c r="J93" s="23" t="str">
        <f>_xlfn.IFNA(IF(I93=0,"-",IF(VLOOKUP(A93,[2]库存AMZ!A:CH,14,0)&gt;0,"≥1 Year",IF(VLOOKUP(A93,[2]库存AMZ!A:CH,13,0)&gt;0,"≥9 Months",IF(VLOOKUP(A93,[2]库存AMZ!A:CH,12,0)&gt;0,"≥6 Months",IF(VLOOKUP(A93,[2]库存AMZ!A:CH,11,0)&gt;0,"≥3 Months","正常"))))),"-")</f>
        <v>≥6 Months</v>
      </c>
      <c r="K93" s="24">
        <f>_xlfn.IFNA(VLOOKUP(A93,[2]库存AMZ!A:CN,56,0),"")</f>
        <v>0</v>
      </c>
      <c r="L93" s="10">
        <f>_xlfn.IFNA(VLOOKUP(A93,[2]库存AMZ!A:CH,59,0),"")</f>
        <v>0</v>
      </c>
    </row>
    <row r="94" ht="14" customHeight="1" spans="1:12">
      <c r="A94" s="39" t="s">
        <v>185</v>
      </c>
      <c r="B94" s="40" t="s">
        <v>186</v>
      </c>
      <c r="C94" s="41" t="s">
        <v>152</v>
      </c>
      <c r="D94" s="41">
        <v>1300100220</v>
      </c>
      <c r="E94" s="42" t="s">
        <v>187</v>
      </c>
      <c r="F94" s="45" t="str">
        <f>VLOOKUP(D94,[2]SKU!A:AK,8,0)</f>
        <v>三维扫描仪-JMS2</v>
      </c>
      <c r="G94" s="45" t="s">
        <v>188</v>
      </c>
      <c r="H94" s="44" t="str">
        <f>VLOOKUP(D94,[2]SKU!A:AK,26,0)</f>
        <v>JMS2</v>
      </c>
      <c r="I94" s="22">
        <f>_xlfn.IFNA(VLOOKUP(A94,[2]库存AMZ!A:CH,8,0),"0")</f>
        <v>20</v>
      </c>
      <c r="J94" s="23" t="str">
        <f>_xlfn.IFNA(IF(I94=0,"-",IF(VLOOKUP(A94,[2]库存AMZ!A:CH,14,0)&gt;0,"≥1 Year",IF(VLOOKUP(A94,[2]库存AMZ!A:CH,13,0)&gt;0,"≥9 Months",IF(VLOOKUP(A94,[2]库存AMZ!A:CH,12,0)&gt;0,"≥6 Months",IF(VLOOKUP(A94,[2]库存AMZ!A:CH,11,0)&gt;0,"≥3 Months","正常"))))),"-")</f>
        <v>正常</v>
      </c>
      <c r="K94" s="24">
        <f>_xlfn.IFNA(VLOOKUP(A94,[2]库存AMZ!A:CN,56,0),"")</f>
        <v>0</v>
      </c>
      <c r="L94" s="10">
        <f>_xlfn.IFNA(VLOOKUP(A94,[2]库存AMZ!A:CH,59,0),"")</f>
        <v>1</v>
      </c>
    </row>
    <row r="95" ht="15.6" spans="1:12">
      <c r="A95" s="39" t="s">
        <v>189</v>
      </c>
      <c r="B95" s="40" t="s">
        <v>190</v>
      </c>
      <c r="C95" s="41" t="s">
        <v>152</v>
      </c>
      <c r="D95" s="41">
        <v>1300100220</v>
      </c>
      <c r="E95" s="42" t="s">
        <v>187</v>
      </c>
      <c r="F95" s="45" t="str">
        <f>VLOOKUP(D95,[2]SKU!A:AK,8,0)</f>
        <v>三维扫描仪-JMS2</v>
      </c>
      <c r="G95" s="45" t="s">
        <v>188</v>
      </c>
      <c r="H95" s="44" t="str">
        <f>VLOOKUP(D95,[2]SKU!A:AK,26,0)</f>
        <v>JMS2</v>
      </c>
      <c r="I95" s="22">
        <f>_xlfn.IFNA(VLOOKUP(A95,[2]库存AMZ!A:CH,8,0),"0")</f>
        <v>21</v>
      </c>
      <c r="J95" s="23" t="str">
        <f>_xlfn.IFNA(IF(I95=0,"-",IF(VLOOKUP(A95,[2]库存AMZ!A:CH,14,0)&gt;0,"≥1 Year",IF(VLOOKUP(A95,[2]库存AMZ!A:CH,13,0)&gt;0,"≥9 Months",IF(VLOOKUP(A95,[2]库存AMZ!A:CH,12,0)&gt;0,"≥6 Months",IF(VLOOKUP(A95,[2]库存AMZ!A:CH,11,0)&gt;0,"≥3 Months","正常"))))),"-")</f>
        <v>≥3 Months</v>
      </c>
      <c r="K95" s="24">
        <f>_xlfn.IFNA(VLOOKUP(A95,[2]库存AMZ!A:CN,56,0),"")</f>
        <v>0</v>
      </c>
      <c r="L95" s="10">
        <f>_xlfn.IFNA(VLOOKUP(A95,[2]库存AMZ!A:CH,59,0),"")</f>
        <v>0</v>
      </c>
    </row>
    <row r="96" ht="15.6" spans="1:12">
      <c r="A96" s="39" t="s">
        <v>191</v>
      </c>
      <c r="B96" s="40" t="s">
        <v>192</v>
      </c>
      <c r="C96" s="41" t="s">
        <v>152</v>
      </c>
      <c r="D96" s="41">
        <v>1300100221</v>
      </c>
      <c r="E96" s="42" t="s">
        <v>193</v>
      </c>
      <c r="F96" s="45" t="str">
        <f>VLOOKUP(D96,[2]SKU!A:AK,8,0)</f>
        <v>三维扫描仪-JMS2</v>
      </c>
      <c r="G96" s="45" t="s">
        <v>194</v>
      </c>
      <c r="H96" s="44" t="str">
        <f>VLOOKUP(D96,[2]SKU!A:AK,26,0)</f>
        <v>JMS2</v>
      </c>
      <c r="I96" s="22">
        <f>_xlfn.IFNA(VLOOKUP(A96,[2]库存AMZ!A:CH,8,0),"0")</f>
        <v>9</v>
      </c>
      <c r="J96" s="23" t="str">
        <f>_xlfn.IFNA(IF(I96=0,"-",IF(VLOOKUP(A96,[2]库存AMZ!A:CH,14,0)&gt;0,"≥1 Year",IF(VLOOKUP(A96,[2]库存AMZ!A:CH,13,0)&gt;0,"≥9 Months",IF(VLOOKUP(A96,[2]库存AMZ!A:CH,12,0)&gt;0,"≥6 Months",IF(VLOOKUP(A96,[2]库存AMZ!A:CH,11,0)&gt;0,"≥3 Months","正常"))))),"-")</f>
        <v>正常</v>
      </c>
      <c r="K96" s="24">
        <f>_xlfn.IFNA(VLOOKUP(A96,[2]库存AMZ!A:CN,56,0),"")</f>
        <v>0</v>
      </c>
      <c r="L96" s="10">
        <f>_xlfn.IFNA(VLOOKUP(A96,[2]库存AMZ!A:CH,59,0),"")</f>
        <v>0</v>
      </c>
    </row>
    <row r="97" ht="15.6" spans="1:12">
      <c r="A97" s="39" t="s">
        <v>195</v>
      </c>
      <c r="B97" s="40" t="s">
        <v>196</v>
      </c>
      <c r="C97" s="41" t="s">
        <v>152</v>
      </c>
      <c r="D97" s="41">
        <v>1300100155</v>
      </c>
      <c r="E97" s="42" t="str">
        <f>VLOOKUP(D97,[2]SKU!A:AK,2,0)</f>
        <v>三维扫描仪Moose基础款(美规)</v>
      </c>
      <c r="F97" s="45" t="str">
        <f>VLOOKUP(D97,[2]SKU!A:AK,8,0)</f>
        <v>三维扫描仪-JMM3</v>
      </c>
      <c r="G97" s="45" t="s">
        <v>46</v>
      </c>
      <c r="H97" s="44" t="str">
        <f>VLOOKUP(D97,[2]SKU!A:AK,26,0)</f>
        <v>JMM3</v>
      </c>
      <c r="I97" s="22">
        <f>_xlfn.IFNA(VLOOKUP(A97,[2]库存AMZ!A:CH,8,0),"0")</f>
        <v>31</v>
      </c>
      <c r="J97" s="23" t="str">
        <f>_xlfn.IFNA(IF(I97=0,"-",IF(VLOOKUP(A97,[2]库存AMZ!A:CH,14,0)&gt;0,"≥1 Year",IF(VLOOKUP(A97,[2]库存AMZ!A:CH,13,0)&gt;0,"≥9 Months",IF(VLOOKUP(A97,[2]库存AMZ!A:CH,12,0)&gt;0,"≥6 Months",IF(VLOOKUP(A97,[2]库存AMZ!A:CH,11,0)&gt;0,"≥3 Months","正常"))))),"-")</f>
        <v>≥3 Months</v>
      </c>
      <c r="K97" s="24">
        <f>_xlfn.IFNA(VLOOKUP(A97,[2]库存AMZ!A:CN,56,0),"")</f>
        <v>0</v>
      </c>
      <c r="L97" s="10">
        <f>_xlfn.IFNA(VLOOKUP(A97,[2]库存AMZ!A:CH,59,0),"")</f>
        <v>0</v>
      </c>
    </row>
    <row r="98" ht="15.6" spans="1:12">
      <c r="A98" s="39" t="s">
        <v>197</v>
      </c>
      <c r="B98" s="40" t="s">
        <v>198</v>
      </c>
      <c r="C98" s="41" t="s">
        <v>152</v>
      </c>
      <c r="D98" s="41">
        <v>1300100230</v>
      </c>
      <c r="E98" s="42" t="s">
        <v>48</v>
      </c>
      <c r="F98" s="45" t="str">
        <f>VLOOKUP(D98,[2]SKU!A:AK,8,0)</f>
        <v>三维扫描仪-JMM3</v>
      </c>
      <c r="G98" s="45" t="s">
        <v>50</v>
      </c>
      <c r="H98" s="44" t="str">
        <f>VLOOKUP(D98,[2]SKU!A:AK,26,0)</f>
        <v>JMM3</v>
      </c>
      <c r="I98" s="22">
        <f>_xlfn.IFNA(VLOOKUP(A98,[2]库存AMZ!A:CH,8,0),"0")</f>
        <v>24</v>
      </c>
      <c r="J98" s="23" t="str">
        <f>_xlfn.IFNA(IF(I98=0,"-",IF(VLOOKUP(A98,[2]库存AMZ!A:CH,14,0)&gt;0,"≥1 Year",IF(VLOOKUP(A98,[2]库存AMZ!A:CH,13,0)&gt;0,"≥9 Months",IF(VLOOKUP(A98,[2]库存AMZ!A:CH,12,0)&gt;0,"≥6 Months",IF(VLOOKUP(A98,[2]库存AMZ!A:CH,11,0)&gt;0,"≥3 Months","正常"))))),"-")</f>
        <v>≥6 Months</v>
      </c>
      <c r="K98" s="24">
        <f>_xlfn.IFNA(VLOOKUP(A98,[2]库存AMZ!A:CN,56,0),"")</f>
        <v>0</v>
      </c>
      <c r="L98" s="10">
        <f>_xlfn.IFNA(VLOOKUP(A98,[2]库存AMZ!A:CH,59,0),"")</f>
        <v>0</v>
      </c>
    </row>
    <row r="99" ht="15.6" spans="1:12">
      <c r="A99" s="39" t="s">
        <v>199</v>
      </c>
      <c r="B99" s="40" t="s">
        <v>200</v>
      </c>
      <c r="C99" s="41" t="s">
        <v>152</v>
      </c>
      <c r="D99" s="41">
        <v>1300100230</v>
      </c>
      <c r="E99" s="42" t="s">
        <v>48</v>
      </c>
      <c r="F99" s="45" t="str">
        <f>VLOOKUP(D99,[2]SKU!A:AK,8,0)</f>
        <v>三维扫描仪-JMM3</v>
      </c>
      <c r="G99" s="45" t="s">
        <v>50</v>
      </c>
      <c r="H99" s="44" t="str">
        <f>VLOOKUP(D99,[2]SKU!A:AK,26,0)</f>
        <v>JMM3</v>
      </c>
      <c r="I99" s="22">
        <f>_xlfn.IFNA(VLOOKUP(A99,[2]库存AMZ!A:CH,8,0),"0")</f>
        <v>41</v>
      </c>
      <c r="J99" s="23" t="str">
        <f>_xlfn.IFNA(IF(I99=0,"-",IF(VLOOKUP(A99,[2]库存AMZ!A:CH,14,0)&gt;0,"≥1 Year",IF(VLOOKUP(A99,[2]库存AMZ!A:CH,13,0)&gt;0,"≥9 Months",IF(VLOOKUP(A99,[2]库存AMZ!A:CH,12,0)&gt;0,"≥6 Months",IF(VLOOKUP(A99,[2]库存AMZ!A:CH,11,0)&gt;0,"≥3 Months","正常"))))),"-")</f>
        <v>正常</v>
      </c>
      <c r="K99" s="24">
        <f>_xlfn.IFNA(VLOOKUP(A99,[2]库存AMZ!A:CN,56,0),"")</f>
        <v>0</v>
      </c>
      <c r="L99" s="10">
        <f>_xlfn.IFNA(VLOOKUP(A99,[2]库存AMZ!A:CH,59,0),"")</f>
        <v>0</v>
      </c>
    </row>
    <row r="100" ht="21.6" spans="1:12">
      <c r="A100" s="39" t="s">
        <v>201</v>
      </c>
      <c r="B100" s="40" t="s">
        <v>202</v>
      </c>
      <c r="C100" s="41" t="s">
        <v>152</v>
      </c>
      <c r="D100" s="41">
        <v>1300100159</v>
      </c>
      <c r="E100" s="42" t="str">
        <f>VLOOKUP(D100,[2]SKU!A:AK,2,0)</f>
        <v>三维扫描仪Moose Lite基础款(美规)</v>
      </c>
      <c r="F100" s="45" t="str">
        <f>VLOOKUP(D100,[2]SKU!A:AK,8,0)</f>
        <v>三维扫描仪-JMM4</v>
      </c>
      <c r="G100" s="45" t="s">
        <v>57</v>
      </c>
      <c r="H100" s="44" t="str">
        <f>VLOOKUP(D100,[2]SKU!A:AK,26,0)</f>
        <v>JMM4</v>
      </c>
      <c r="I100" s="22">
        <f>_xlfn.IFNA(VLOOKUP(A100,[2]库存AMZ!A:CH,8,0),"0")</f>
        <v>22</v>
      </c>
      <c r="J100" s="23" t="str">
        <f>_xlfn.IFNA(IF(I100=0,"-",IF(VLOOKUP(A100,[2]库存AMZ!A:CH,14,0)&gt;0,"≥1 Year",IF(VLOOKUP(A100,[2]库存AMZ!A:CH,13,0)&gt;0,"≥9 Months",IF(VLOOKUP(A100,[2]库存AMZ!A:CH,12,0)&gt;0,"≥6 Months",IF(VLOOKUP(A100,[2]库存AMZ!A:CH,11,0)&gt;0,"≥3 Months","正常"))))),"-")</f>
        <v>≥1 Year</v>
      </c>
      <c r="K100" s="24">
        <f>_xlfn.IFNA(VLOOKUP(A100,[2]库存AMZ!A:CN,56,0),"")</f>
        <v>0</v>
      </c>
      <c r="L100" s="10">
        <f>_xlfn.IFNA(VLOOKUP(A100,[2]库存AMZ!A:CH,59,0),"")</f>
        <v>0</v>
      </c>
    </row>
    <row r="101" ht="21.6" spans="1:12">
      <c r="A101" s="39" t="s">
        <v>203</v>
      </c>
      <c r="B101" s="40" t="s">
        <v>204</v>
      </c>
      <c r="C101" s="41" t="s">
        <v>152</v>
      </c>
      <c r="D101" s="41">
        <v>1300100169</v>
      </c>
      <c r="E101" s="42" t="str">
        <f>VLOOKUP(D101,[2]SKU!A:AK,2,0)</f>
        <v>三维扫描仪Moose Lite升级款(美规)</v>
      </c>
      <c r="F101" s="45" t="str">
        <f>VLOOKUP(D101,[2]SKU!A:AK,8,0)</f>
        <v>三维扫描仪-JMM4</v>
      </c>
      <c r="G101" s="45" t="s">
        <v>61</v>
      </c>
      <c r="H101" s="44" t="str">
        <f>VLOOKUP(D101,[2]SKU!A:AK,26,0)</f>
        <v>JMM4</v>
      </c>
      <c r="I101" s="22">
        <f>_xlfn.IFNA(VLOOKUP(A101,[2]库存AMZ!A:CH,8,0),"0")</f>
        <v>5</v>
      </c>
      <c r="J101" s="23" t="str">
        <f>_xlfn.IFNA(IF(I101=0,"-",IF(VLOOKUP(A101,[2]库存AMZ!A:CH,14,0)&gt;0,"≥1 Year",IF(VLOOKUP(A101,[2]库存AMZ!A:CH,13,0)&gt;0,"≥9 Months",IF(VLOOKUP(A101,[2]库存AMZ!A:CH,12,0)&gt;0,"≥6 Months",IF(VLOOKUP(A101,[2]库存AMZ!A:CH,11,0)&gt;0,"≥3 Months","正常"))))),"-")</f>
        <v>≥1 Year</v>
      </c>
      <c r="K101" s="24">
        <f>_xlfn.IFNA(VLOOKUP(A101,[2]库存AMZ!A:CN,56,0),"")</f>
        <v>0</v>
      </c>
      <c r="L101" s="10">
        <f>_xlfn.IFNA(VLOOKUP(A101,[2]库存AMZ!A:CH,59,0),"")</f>
        <v>0</v>
      </c>
    </row>
    <row r="102" ht="15.6" spans="1:12">
      <c r="A102" s="39" t="s">
        <v>205</v>
      </c>
      <c r="B102" s="40" t="s">
        <v>206</v>
      </c>
      <c r="C102" s="41" t="s">
        <v>152</v>
      </c>
      <c r="D102" s="41">
        <v>1300100169</v>
      </c>
      <c r="E102" s="42" t="str">
        <f>VLOOKUP(D102,[2]SKU!A:AK,2,0)</f>
        <v>三维扫描仪Moose Lite升级款(美规)</v>
      </c>
      <c r="F102" s="45" t="str">
        <f>VLOOKUP(D102,[2]SKU!A:AK,8,0)</f>
        <v>三维扫描仪-JMM4</v>
      </c>
      <c r="G102" s="45" t="s">
        <v>61</v>
      </c>
      <c r="H102" s="44" t="str">
        <f>VLOOKUP(D102,[2]SKU!A:AK,26,0)</f>
        <v>JMM4</v>
      </c>
      <c r="I102" s="22">
        <f>_xlfn.IFNA(VLOOKUP(A102,[2]库存AMZ!A:CH,8,0),"0")</f>
        <v>25</v>
      </c>
      <c r="J102" s="23" t="str">
        <f>_xlfn.IFNA(IF(I102=0,"-",IF(VLOOKUP(A102,[2]库存AMZ!A:CH,14,0)&gt;0,"≥1 Year",IF(VLOOKUP(A102,[2]库存AMZ!A:CH,13,0)&gt;0,"≥9 Months",IF(VLOOKUP(A102,[2]库存AMZ!A:CH,12,0)&gt;0,"≥6 Months",IF(VLOOKUP(A102,[2]库存AMZ!A:CH,11,0)&gt;0,"≥3 Months","正常"))))),"-")</f>
        <v>≥1 Year</v>
      </c>
      <c r="K102" s="24">
        <f>_xlfn.IFNA(VLOOKUP(A102,[2]库存AMZ!A:CN,56,0),"")</f>
        <v>0</v>
      </c>
      <c r="L102" s="10">
        <f>_xlfn.IFNA(VLOOKUP(A102,[2]库存AMZ!A:CH,59,0),"")</f>
        <v>0</v>
      </c>
    </row>
    <row r="103" ht="15.6" spans="1:12">
      <c r="A103" s="39" t="s">
        <v>207</v>
      </c>
      <c r="B103" s="40"/>
      <c r="C103" s="41" t="s">
        <v>152</v>
      </c>
      <c r="D103" s="41">
        <v>1300100246</v>
      </c>
      <c r="E103" s="42" t="s">
        <v>79</v>
      </c>
      <c r="F103" s="45" t="s">
        <v>80</v>
      </c>
      <c r="G103" s="45" t="s">
        <v>81</v>
      </c>
      <c r="H103" s="44" t="s">
        <v>82</v>
      </c>
      <c r="I103" s="22" t="str">
        <f>_xlfn.IFNA(VLOOKUP(A103,[2]库存AMZ!A:CH,8,0),"0")</f>
        <v>0</v>
      </c>
      <c r="J103" s="23" t="str">
        <f>_xlfn.IFNA(IF(I103=0,"-",IF(VLOOKUP(A103,[2]库存AMZ!A:CH,14,0)&gt;0,"≥1 Year",IF(VLOOKUP(A103,[2]库存AMZ!A:CH,13,0)&gt;0,"≥9 Months",IF(VLOOKUP(A103,[2]库存AMZ!A:CH,12,0)&gt;0,"≥6 Months",IF(VLOOKUP(A103,[2]库存AMZ!A:CH,11,0)&gt;0,"≥3 Months","正常"))))),"-")</f>
        <v>-</v>
      </c>
      <c r="K103" s="47">
        <v>9</v>
      </c>
      <c r="L103" s="10" t="str">
        <f>_xlfn.IFNA(VLOOKUP(A103,[2]库存AMZ!A:CH,59,0),"")</f>
        <v/>
      </c>
    </row>
    <row r="104" ht="15.6" spans="1:12">
      <c r="A104" s="39" t="s">
        <v>208</v>
      </c>
      <c r="B104" s="40"/>
      <c r="C104" s="41" t="s">
        <v>152</v>
      </c>
      <c r="D104" s="41">
        <v>1300100240</v>
      </c>
      <c r="E104" s="42" t="s">
        <v>84</v>
      </c>
      <c r="F104" s="45" t="s">
        <v>80</v>
      </c>
      <c r="G104" s="45" t="s">
        <v>85</v>
      </c>
      <c r="H104" s="44" t="s">
        <v>82</v>
      </c>
      <c r="I104" s="22" t="str">
        <f>_xlfn.IFNA(VLOOKUP(A104,[2]库存AMZ!A:CH,8,0),"0")</f>
        <v>0</v>
      </c>
      <c r="J104" s="23" t="str">
        <f>_xlfn.IFNA(IF(I104=0,"-",IF(VLOOKUP(A104,[2]库存AMZ!A:CH,14,0)&gt;0,"≥1 Year",IF(VLOOKUP(A104,[2]库存AMZ!A:CH,13,0)&gt;0,"≥9 Months",IF(VLOOKUP(A104,[2]库存AMZ!A:CH,12,0)&gt;0,"≥6 Months",IF(VLOOKUP(A104,[2]库存AMZ!A:CH,11,0)&gt;0,"≥3 Months","正常"))))),"-")</f>
        <v>-</v>
      </c>
      <c r="K104" s="47">
        <v>10</v>
      </c>
      <c r="L104" s="10" t="str">
        <f>_xlfn.IFNA(VLOOKUP(A104,[2]库存AMZ!A:CH,59,0),"")</f>
        <v/>
      </c>
    </row>
    <row r="105" ht="15.6" spans="1:12">
      <c r="A105" s="39" t="s">
        <v>209</v>
      </c>
      <c r="B105" s="40" t="s">
        <v>210</v>
      </c>
      <c r="C105" s="41" t="s">
        <v>152</v>
      </c>
      <c r="D105" s="41">
        <v>1300100082</v>
      </c>
      <c r="E105" s="42" t="str">
        <f>VLOOKUP(D105,[2]SKU!A:AK,2,0)</f>
        <v>三维扫描仪智能手柄</v>
      </c>
      <c r="F105" s="45" t="str">
        <f>VLOOKUP(D105,[2]SKU!A:AK,8,0)</f>
        <v>三维扫描仪备品备件</v>
      </c>
      <c r="G105" s="45" t="s">
        <v>35</v>
      </c>
      <c r="H105" s="44" t="str">
        <f>VLOOKUP(D105,[2]SKU!A:AK,26,0)</f>
        <v>JMB1</v>
      </c>
      <c r="I105" s="22">
        <f>_xlfn.IFNA(VLOOKUP(A105,[2]库存AMZ!A:CH,8,0),"0")</f>
        <v>23</v>
      </c>
      <c r="J105" s="23" t="str">
        <f>_xlfn.IFNA(IF(I105=0,"-",IF(VLOOKUP(A105,[2]库存AMZ!A:CH,14,0)&gt;0,"≥1 Year",IF(VLOOKUP(A105,[2]库存AMZ!A:CH,13,0)&gt;0,"≥9 Months",IF(VLOOKUP(A105,[2]库存AMZ!A:CH,12,0)&gt;0,"≥6 Months",IF(VLOOKUP(A105,[2]库存AMZ!A:CH,11,0)&gt;0,"≥3 Months","正常"))))),"-")</f>
        <v>≥3 Months</v>
      </c>
      <c r="K105" s="24">
        <f>_xlfn.IFNA(VLOOKUP(A105,[2]库存AMZ!A:CN,56,0),"")</f>
        <v>0</v>
      </c>
      <c r="L105" s="10">
        <f>_xlfn.IFNA(VLOOKUP(A105,[2]库存AMZ!A:CH,59,0),"")</f>
        <v>0</v>
      </c>
    </row>
    <row r="106" ht="15.6" spans="1:12">
      <c r="A106" s="39" t="s">
        <v>211</v>
      </c>
      <c r="B106" s="40" t="s">
        <v>212</v>
      </c>
      <c r="C106" s="41" t="s">
        <v>152</v>
      </c>
      <c r="D106" s="41">
        <v>1300100118</v>
      </c>
      <c r="E106" s="42" t="str">
        <f>VLOOKUP(D106,[2]SKU!A:AK,2,0)</f>
        <v>Seal/Seal lite转台套餐</v>
      </c>
      <c r="F106" s="45" t="str">
        <f>VLOOKUP(D106,[2]SKU!A:AK,8,0)</f>
        <v>三维扫描仪备品备件</v>
      </c>
      <c r="G106" s="45" t="s">
        <v>29</v>
      </c>
      <c r="H106" s="44" t="str">
        <f>VLOOKUP(D106,[2]SKU!A:AK,26,0)</f>
        <v>-</v>
      </c>
      <c r="I106" s="22">
        <f>_xlfn.IFNA(VLOOKUP(A106,[2]库存AMZ!A:CH,8,0),"0")</f>
        <v>15</v>
      </c>
      <c r="J106" s="23" t="str">
        <f>_xlfn.IFNA(IF(I106=0,"-",IF(VLOOKUP(A106,[2]库存AMZ!A:CH,14,0)&gt;0,"≥1 Year",IF(VLOOKUP(A106,[2]库存AMZ!A:CH,13,0)&gt;0,"≥9 Months",IF(VLOOKUP(A106,[2]库存AMZ!A:CH,12,0)&gt;0,"≥6 Months",IF(VLOOKUP(A106,[2]库存AMZ!A:CH,11,0)&gt;0,"≥3 Months","正常"))))),"-")</f>
        <v>≥3 Months</v>
      </c>
      <c r="K106" s="24">
        <f>_xlfn.IFNA(VLOOKUP(A106,[2]库存AMZ!A:CN,56,0),"")</f>
        <v>0</v>
      </c>
      <c r="L106" s="10">
        <f>_xlfn.IFNA(VLOOKUP(A106,[2]库存AMZ!A:CH,59,0),"")</f>
        <v>0</v>
      </c>
    </row>
    <row r="107" customFormat="1" ht="15.6" spans="1:12">
      <c r="A107" s="39" t="s">
        <v>213</v>
      </c>
      <c r="B107" s="40"/>
      <c r="C107" s="41" t="s">
        <v>152</v>
      </c>
      <c r="D107" s="41">
        <v>1200100064</v>
      </c>
      <c r="E107" s="42" t="s">
        <v>214</v>
      </c>
      <c r="F107" s="45" t="str">
        <f>VLOOKUP(D107,[2]SKU!A:AK,8,0)</f>
        <v>三维扫描仪备品备件</v>
      </c>
      <c r="G107" s="45" t="s">
        <v>32</v>
      </c>
      <c r="H107" s="44" t="s">
        <v>15</v>
      </c>
      <c r="I107" s="22">
        <f>_xlfn.IFNA(VLOOKUP(A107,[2]库存AMZ!A:CH,8,0),"0")</f>
        <v>32</v>
      </c>
      <c r="J107" s="23" t="str">
        <f>_xlfn.IFNA(IF(I107=0,"-",IF(VLOOKUP(A107,[2]库存AMZ!A:CH,14,0)&gt;0,"≥1 Year",IF(VLOOKUP(A107,[2]库存AMZ!A:CH,13,0)&gt;0,"≥9 Months",IF(VLOOKUP(A107,[2]库存AMZ!A:CH,12,0)&gt;0,"≥6 Months",IF(VLOOKUP(A107,[2]库存AMZ!A:CH,11,0)&gt;0,"≥3 Months","正常"))))),"-")</f>
        <v>≥3 Months</v>
      </c>
      <c r="K107" s="24">
        <f>_xlfn.IFNA(VLOOKUP(A107,[2]库存AMZ!A:CN,56,0),"")</f>
        <v>0</v>
      </c>
      <c r="L107" s="10">
        <f>_xlfn.IFNA(VLOOKUP(A107,[2]库存AMZ!A:CH,59,0),"")</f>
        <v>0</v>
      </c>
    </row>
    <row r="108" customFormat="1" ht="15.6" spans="1:12">
      <c r="A108" s="39" t="s">
        <v>215</v>
      </c>
      <c r="B108" s="40" t="s">
        <v>216</v>
      </c>
      <c r="C108" s="41" t="s">
        <v>152</v>
      </c>
      <c r="D108" s="41">
        <v>1060400009</v>
      </c>
      <c r="E108" s="42" t="s">
        <v>217</v>
      </c>
      <c r="F108" s="45" t="s">
        <v>28</v>
      </c>
      <c r="G108" s="45" t="s">
        <v>15</v>
      </c>
      <c r="H108" s="44" t="s">
        <v>15</v>
      </c>
      <c r="I108" s="22">
        <f>_xlfn.IFNA(VLOOKUP(A108,[2]库存AMZ!A:CH,8,0),"0")</f>
        <v>27</v>
      </c>
      <c r="J108" s="23" t="str">
        <f>_xlfn.IFNA(IF(I108=0,"-",IF(VLOOKUP(A108,[2]库存AMZ!A:CH,14,0)&gt;0,"≥1 Year",IF(VLOOKUP(A108,[2]库存AMZ!A:CH,13,0)&gt;0,"≥9 Months",IF(VLOOKUP(A108,[2]库存AMZ!A:CH,12,0)&gt;0,"≥6 Months",IF(VLOOKUP(A108,[2]库存AMZ!A:CH,11,0)&gt;0,"≥3 Months","正常"))))),"-")</f>
        <v>≥3 Months</v>
      </c>
      <c r="K108" s="24">
        <f>_xlfn.IFNA(VLOOKUP(A108,[2]库存AMZ!A:CN,56,0),"")</f>
        <v>0</v>
      </c>
      <c r="L108" s="10">
        <f>_xlfn.IFNA(VLOOKUP(A108,[2]库存AMZ!A:CH,59,0),"")</f>
        <v>0</v>
      </c>
    </row>
    <row r="109" customFormat="1" ht="15.6" spans="1:12">
      <c r="A109" s="48" t="s">
        <v>218</v>
      </c>
      <c r="B109" s="49" t="s">
        <v>219</v>
      </c>
      <c r="C109" s="50" t="s">
        <v>220</v>
      </c>
      <c r="D109" s="50">
        <v>1200100064</v>
      </c>
      <c r="E109" s="51" t="s">
        <v>214</v>
      </c>
      <c r="F109" s="52" t="s">
        <v>28</v>
      </c>
      <c r="G109" s="52" t="s">
        <v>32</v>
      </c>
      <c r="H109" s="53" t="s">
        <v>15</v>
      </c>
      <c r="I109" s="22">
        <f>_xlfn.IFNA(VLOOKUP(A109,[2]库存AMZ!A:CH,8,0),"0")</f>
        <v>20</v>
      </c>
      <c r="J109" s="23" t="str">
        <f>_xlfn.IFNA(IF(I109=0,"-",IF(VLOOKUP(A109,[2]库存AMZ!A:CH,14,0)&gt;0,"≥1 Year",IF(VLOOKUP(A109,[2]库存AMZ!A:CH,13,0)&gt;0,"≥9 Months",IF(VLOOKUP(A109,[2]库存AMZ!A:CH,12,0)&gt;0,"≥6 Months",IF(VLOOKUP(A109,[2]库存AMZ!A:CH,11,0)&gt;0,"≥3 Months","正常"))))),"-")</f>
        <v>≥3 Months</v>
      </c>
      <c r="K109" s="24">
        <f>_xlfn.IFNA(VLOOKUP(A109,[2]库存AMZ!A:CN,56,0),"")</f>
        <v>0</v>
      </c>
      <c r="L109" s="10">
        <f>_xlfn.IFNA(VLOOKUP(A109,[2]库存AMZ!A:CH,59,0),"")</f>
        <v>0</v>
      </c>
    </row>
    <row r="110" customFormat="1" ht="15.6" spans="1:12">
      <c r="A110" s="48" t="s">
        <v>221</v>
      </c>
      <c r="B110" s="49" t="s">
        <v>222</v>
      </c>
      <c r="C110" s="50" t="s">
        <v>220</v>
      </c>
      <c r="D110" s="50">
        <v>1060400009</v>
      </c>
      <c r="E110" s="51" t="s">
        <v>217</v>
      </c>
      <c r="F110" s="52" t="s">
        <v>28</v>
      </c>
      <c r="G110" s="52" t="s">
        <v>15</v>
      </c>
      <c r="H110" s="53" t="s">
        <v>15</v>
      </c>
      <c r="I110" s="22">
        <f>_xlfn.IFNA(VLOOKUP(A110,[2]库存AMZ!A:CH,8,0),"0")</f>
        <v>42</v>
      </c>
      <c r="J110" s="23" t="str">
        <f>_xlfn.IFNA(IF(I110=0,"-",IF(VLOOKUP(A110,[2]库存AMZ!A:CH,14,0)&gt;0,"≥1 Year",IF(VLOOKUP(A110,[2]库存AMZ!A:CH,13,0)&gt;0,"≥9 Months",IF(VLOOKUP(A110,[2]库存AMZ!A:CH,12,0)&gt;0,"≥6 Months",IF(VLOOKUP(A110,[2]库存AMZ!A:CH,11,0)&gt;0,"≥3 Months","正常"))))),"-")</f>
        <v>≥3 Months</v>
      </c>
      <c r="K110" s="24">
        <f>_xlfn.IFNA(VLOOKUP(A110,[2]库存AMZ!A:CN,56,0),"")</f>
        <v>0</v>
      </c>
      <c r="L110" s="10">
        <f>_xlfn.IFNA(VLOOKUP(A110,[2]库存AMZ!A:CH,59,0),"")</f>
        <v>0</v>
      </c>
    </row>
    <row r="111" customFormat="1" ht="15.6" spans="1:12">
      <c r="A111" s="48" t="s">
        <v>223</v>
      </c>
      <c r="B111" s="49" t="s">
        <v>224</v>
      </c>
      <c r="C111" s="50" t="s">
        <v>220</v>
      </c>
      <c r="D111" s="50">
        <v>1300100222</v>
      </c>
      <c r="E111" s="51" t="s">
        <v>23</v>
      </c>
      <c r="F111" s="52" t="s">
        <v>24</v>
      </c>
      <c r="G111" s="52" t="s">
        <v>25</v>
      </c>
      <c r="H111" s="53" t="s">
        <v>225</v>
      </c>
      <c r="I111" s="22">
        <f>_xlfn.IFNA(VLOOKUP(A111,[2]库存AMZ!A:CH,8,0),"0")</f>
        <v>3</v>
      </c>
      <c r="J111" s="23" t="str">
        <f>_xlfn.IFNA(IF(I111=0,"-",IF(VLOOKUP(A111,[2]库存AMZ!A:CH,14,0)&gt;0,"≥1 Year",IF(VLOOKUP(A111,[2]库存AMZ!A:CH,13,0)&gt;0,"≥9 Months",IF(VLOOKUP(A111,[2]库存AMZ!A:CH,12,0)&gt;0,"≥6 Months",IF(VLOOKUP(A111,[2]库存AMZ!A:CH,11,0)&gt;0,"≥3 Months","正常"))))),"-")</f>
        <v>≥6 Months</v>
      </c>
      <c r="K111" s="24">
        <f>_xlfn.IFNA(VLOOKUP(A111,[2]库存AMZ!A:CN,56,0),"")</f>
        <v>0</v>
      </c>
      <c r="L111" s="10">
        <f>_xlfn.IFNA(VLOOKUP(A111,[2]库存AMZ!A:CH,59,0),"")</f>
        <v>0</v>
      </c>
    </row>
    <row r="112" customFormat="1" ht="15.6" spans="1:12">
      <c r="A112" s="48" t="s">
        <v>226</v>
      </c>
      <c r="B112" s="49" t="s">
        <v>227</v>
      </c>
      <c r="C112" s="50" t="s">
        <v>220</v>
      </c>
      <c r="D112" s="50">
        <v>1300100223</v>
      </c>
      <c r="E112" s="51" t="s">
        <v>179</v>
      </c>
      <c r="F112" s="52" t="s">
        <v>24</v>
      </c>
      <c r="G112" s="52" t="s">
        <v>25</v>
      </c>
      <c r="H112" s="53" t="s">
        <v>225</v>
      </c>
      <c r="I112" s="22">
        <f>_xlfn.IFNA(VLOOKUP(A112,[2]库存AMZ!A:CH,8,0),"0")</f>
        <v>18</v>
      </c>
      <c r="J112" s="23" t="str">
        <f>_xlfn.IFNA(IF(I112=0,"-",IF(VLOOKUP(A112,[2]库存AMZ!A:CH,14,0)&gt;0,"≥1 Year",IF(VLOOKUP(A112,[2]库存AMZ!A:CH,13,0)&gt;0,"≥9 Months",IF(VLOOKUP(A112,[2]库存AMZ!A:CH,12,0)&gt;0,"≥6 Months",IF(VLOOKUP(A112,[2]库存AMZ!A:CH,11,0)&gt;0,"≥3 Months","正常"))))),"-")</f>
        <v>≥3 Months</v>
      </c>
      <c r="K112" s="24">
        <f>_xlfn.IFNA(VLOOKUP(A112,[2]库存AMZ!A:CN,56,0),"")</f>
        <v>0</v>
      </c>
      <c r="L112" s="10">
        <f>_xlfn.IFNA(VLOOKUP(A112,[2]库存AMZ!A:CH,59,0),"")</f>
        <v>0</v>
      </c>
    </row>
    <row r="113" customFormat="1" ht="15.6" spans="1:12">
      <c r="A113" s="48" t="s">
        <v>228</v>
      </c>
      <c r="B113" s="49" t="s">
        <v>229</v>
      </c>
      <c r="C113" s="50" t="s">
        <v>220</v>
      </c>
      <c r="D113" s="50">
        <v>1300100222</v>
      </c>
      <c r="E113" s="51" t="s">
        <v>23</v>
      </c>
      <c r="F113" s="52" t="s">
        <v>24</v>
      </c>
      <c r="G113" s="52" t="s">
        <v>25</v>
      </c>
      <c r="H113" s="53" t="s">
        <v>225</v>
      </c>
      <c r="I113" s="22">
        <f>_xlfn.IFNA(VLOOKUP(A113,[2]库存AMZ!A:CH,8,0),"0")</f>
        <v>32</v>
      </c>
      <c r="J113" s="23" t="str">
        <f>_xlfn.IFNA(IF(I113=0,"-",IF(VLOOKUP(A113,[2]库存AMZ!A:CH,14,0)&gt;0,"≥1 Year",IF(VLOOKUP(A113,[2]库存AMZ!A:CH,13,0)&gt;0,"≥9 Months",IF(VLOOKUP(A113,[2]库存AMZ!A:CH,12,0)&gt;0,"≥6 Months",IF(VLOOKUP(A113,[2]库存AMZ!A:CH,11,0)&gt;0,"≥3 Months","正常"))))),"-")</f>
        <v>≥3 Months</v>
      </c>
      <c r="K113" s="24">
        <f>_xlfn.IFNA(VLOOKUP(A113,[2]库存AMZ!A:CN,56,0),"")</f>
        <v>0</v>
      </c>
      <c r="L113" s="10">
        <f>_xlfn.IFNA(VLOOKUP(A113,[2]库存AMZ!A:CH,59,0),"")</f>
        <v>0</v>
      </c>
    </row>
    <row r="114" customFormat="1" ht="15.6" spans="1:12">
      <c r="A114" s="48" t="s">
        <v>230</v>
      </c>
      <c r="B114" s="49" t="s">
        <v>231</v>
      </c>
      <c r="C114" s="50" t="s">
        <v>220</v>
      </c>
      <c r="D114" s="50">
        <v>1300100229</v>
      </c>
      <c r="E114" s="51" t="s">
        <v>45</v>
      </c>
      <c r="F114" s="52" t="s">
        <v>49</v>
      </c>
      <c r="G114" s="52" t="s">
        <v>46</v>
      </c>
      <c r="H114" s="53" t="s">
        <v>51</v>
      </c>
      <c r="I114" s="22">
        <f>_xlfn.IFNA(VLOOKUP(A114,[2]库存AMZ!A:CH,8,0),"0")</f>
        <v>20</v>
      </c>
      <c r="J114" s="23" t="str">
        <f>_xlfn.IFNA(IF(I114=0,"-",IF(VLOOKUP(A114,[2]库存AMZ!A:CH,14,0)&gt;0,"≥1 Year",IF(VLOOKUP(A114,[2]库存AMZ!A:CH,13,0)&gt;0,"≥9 Months",IF(VLOOKUP(A114,[2]库存AMZ!A:CH,12,0)&gt;0,"≥6 Months",IF(VLOOKUP(A114,[2]库存AMZ!A:CH,11,0)&gt;0,"≥3 Months","正常"))))),"-")</f>
        <v>≥3 Months</v>
      </c>
      <c r="K114" s="24">
        <f>_xlfn.IFNA(VLOOKUP(A114,[2]库存AMZ!A:CN,56,0),"")</f>
        <v>0</v>
      </c>
      <c r="L114" s="10">
        <f>_xlfn.IFNA(VLOOKUP(A114,[2]库存AMZ!A:CH,59,0),"")</f>
        <v>0</v>
      </c>
    </row>
    <row r="115" customFormat="1" ht="15.6" spans="1:12">
      <c r="A115" s="48" t="s">
        <v>232</v>
      </c>
      <c r="B115" s="49" t="s">
        <v>233</v>
      </c>
      <c r="C115" s="50" t="s">
        <v>220</v>
      </c>
      <c r="D115" s="50">
        <v>1300100230</v>
      </c>
      <c r="E115" s="51" t="s">
        <v>48</v>
      </c>
      <c r="F115" s="52" t="s">
        <v>49</v>
      </c>
      <c r="G115" s="52" t="s">
        <v>50</v>
      </c>
      <c r="H115" s="53" t="s">
        <v>51</v>
      </c>
      <c r="I115" s="22">
        <f>_xlfn.IFNA(VLOOKUP(A115,[2]库存AMZ!A:CH,8,0),"0")</f>
        <v>43</v>
      </c>
      <c r="J115" s="23" t="str">
        <f>_xlfn.IFNA(IF(I115=0,"-",IF(VLOOKUP(A115,[2]库存AMZ!A:CH,14,0)&gt;0,"≥1 Year",IF(VLOOKUP(A115,[2]库存AMZ!A:CH,13,0)&gt;0,"≥9 Months",IF(VLOOKUP(A115,[2]库存AMZ!A:CH,12,0)&gt;0,"≥6 Months",IF(VLOOKUP(A115,[2]库存AMZ!A:CH,11,0)&gt;0,"≥3 Months","正常"))))),"-")</f>
        <v>≥3 Months</v>
      </c>
      <c r="K115" s="24">
        <f>_xlfn.IFNA(VLOOKUP(A115,[2]库存AMZ!A:CN,56,0),"")</f>
        <v>0</v>
      </c>
      <c r="L115" s="10">
        <f>_xlfn.IFNA(VLOOKUP(A115,[2]库存AMZ!A:CH,59,0),"")</f>
        <v>0</v>
      </c>
    </row>
    <row r="116" customFormat="1" ht="21.6" spans="1:12">
      <c r="A116" s="54" t="s">
        <v>234</v>
      </c>
      <c r="B116" s="55" t="s">
        <v>235</v>
      </c>
      <c r="C116" s="56" t="s">
        <v>236</v>
      </c>
      <c r="D116" s="57">
        <v>1300100038</v>
      </c>
      <c r="E116" s="58" t="str">
        <f>VLOOKUP(D116,[2]SKU!A:AK,2,0)</f>
        <v>三维扫描仪Mole升级款(英文版)</v>
      </c>
      <c r="F116" s="59" t="str">
        <f>VLOOKUP(D116,[2]SKU!A:AK,8,0)</f>
        <v>三维扫描仪-JMM1</v>
      </c>
      <c r="G116" s="59" t="s">
        <v>136</v>
      </c>
      <c r="H116" s="60" t="str">
        <f>VLOOKUP(D116,[2]SKU!A:AK,26,0)</f>
        <v>JMM1</v>
      </c>
      <c r="I116" s="22">
        <f>_xlfn.IFNA(VLOOKUP(A116,[2]库存AMZ!A:CH,8,0),"0")</f>
        <v>36</v>
      </c>
      <c r="J116" s="23" t="str">
        <f>_xlfn.IFNA(IF(I116=0,"-",IF(VLOOKUP(A116,[2]库存AMZ!A:CH,14,0)&gt;0,"≥1 Year",IF(VLOOKUP(A116,[2]库存AMZ!A:CH,13,0)&gt;0,"≥9 Months",IF(VLOOKUP(A116,[2]库存AMZ!A:CH,12,0)&gt;0,"≥6 Months",IF(VLOOKUP(A116,[2]库存AMZ!A:CH,11,0)&gt;0,"≥3 Months","正常"))))),"-")</f>
        <v>≥6 Months</v>
      </c>
      <c r="K116" s="24">
        <f>_xlfn.IFNA(VLOOKUP(A116,[2]库存AMZ!A:CN,56,0),"")</f>
        <v>0</v>
      </c>
      <c r="L116" s="10">
        <f>_xlfn.IFNA(VLOOKUP(A116,[2]库存AMZ!A:CH,59,0),"")</f>
        <v>0</v>
      </c>
    </row>
    <row r="117" customFormat="1" ht="21.6" spans="1:12">
      <c r="A117" s="54" t="s">
        <v>237</v>
      </c>
      <c r="B117" s="55" t="s">
        <v>238</v>
      </c>
      <c r="C117" s="56" t="s">
        <v>236</v>
      </c>
      <c r="D117" s="57">
        <v>1300100038</v>
      </c>
      <c r="E117" s="58" t="str">
        <f>VLOOKUP(D117,[2]SKU!A:AK,2,0)</f>
        <v>三维扫描仪Mole升级款(英文版)</v>
      </c>
      <c r="F117" s="59" t="str">
        <f>VLOOKUP(D117,[2]SKU!A:AK,8,0)</f>
        <v>三维扫描仪-JMM1</v>
      </c>
      <c r="G117" s="59" t="s">
        <v>136</v>
      </c>
      <c r="H117" s="60" t="str">
        <f>VLOOKUP(D117,[2]SKU!A:AK,26,0)</f>
        <v>JMM1</v>
      </c>
      <c r="I117" s="22">
        <f>_xlfn.IFNA(VLOOKUP(A117,[2]库存AMZ!A:CH,8,0),"0")</f>
        <v>3</v>
      </c>
      <c r="J117" s="23" t="str">
        <f>_xlfn.IFNA(IF(I117=0,"-",IF(VLOOKUP(A117,[2]库存AMZ!A:CH,14,0)&gt;0,"≥1 Year",IF(VLOOKUP(A117,[2]库存AMZ!A:CH,13,0)&gt;0,"≥9 Months",IF(VLOOKUP(A117,[2]库存AMZ!A:CH,12,0)&gt;0,"≥6 Months",IF(VLOOKUP(A117,[2]库存AMZ!A:CH,11,0)&gt;0,"≥3 Months","正常"))))),"-")</f>
        <v>正常</v>
      </c>
      <c r="K117" s="24">
        <f>_xlfn.IFNA(VLOOKUP(A117,[2]库存AMZ!A:CN,56,0),"")</f>
        <v>0</v>
      </c>
      <c r="L117" s="10">
        <f>_xlfn.IFNA(VLOOKUP(A117,[2]库存AMZ!A:CH,59,0),"")</f>
        <v>0</v>
      </c>
    </row>
    <row r="118" customFormat="1" ht="21.6" spans="1:12">
      <c r="A118" s="54" t="s">
        <v>239</v>
      </c>
      <c r="B118" s="55" t="s">
        <v>240</v>
      </c>
      <c r="C118" s="56" t="s">
        <v>236</v>
      </c>
      <c r="D118" s="57">
        <v>1300100038</v>
      </c>
      <c r="E118" s="58" t="str">
        <f>VLOOKUP(D118,[2]SKU!A:AK,2,0)</f>
        <v>三维扫描仪Mole升级款(英文版)</v>
      </c>
      <c r="F118" s="59" t="str">
        <f>VLOOKUP(D118,[2]SKU!A:AK,8,0)</f>
        <v>三维扫描仪-JMM1</v>
      </c>
      <c r="G118" s="59" t="s">
        <v>136</v>
      </c>
      <c r="H118" s="60" t="str">
        <f>VLOOKUP(D118,[2]SKU!A:AK,26,0)</f>
        <v>JMM1</v>
      </c>
      <c r="I118" s="22">
        <f>_xlfn.IFNA(VLOOKUP(A118,[2]库存AMZ!A:CH,8,0),"0")</f>
        <v>1</v>
      </c>
      <c r="J118" s="23" t="str">
        <f>_xlfn.IFNA(IF(I118=0,"-",IF(VLOOKUP(A118,[2]库存AMZ!A:CH,14,0)&gt;0,"≥1 Year",IF(VLOOKUP(A118,[2]库存AMZ!A:CH,13,0)&gt;0,"≥9 Months",IF(VLOOKUP(A118,[2]库存AMZ!A:CH,12,0)&gt;0,"≥6 Months",IF(VLOOKUP(A118,[2]库存AMZ!A:CH,11,0)&gt;0,"≥3 Months","正常"))))),"-")</f>
        <v>正常</v>
      </c>
      <c r="K118" s="24">
        <f>_xlfn.IFNA(VLOOKUP(A118,[2]库存AMZ!A:CN,56,0),"")</f>
        <v>0</v>
      </c>
      <c r="L118" s="10">
        <f>_xlfn.IFNA(VLOOKUP(A118,[2]库存AMZ!A:CH,59,0),"")</f>
        <v>0</v>
      </c>
    </row>
    <row r="119" customFormat="1" ht="21.6" spans="1:12">
      <c r="A119" s="54" t="s">
        <v>241</v>
      </c>
      <c r="B119" s="55" t="s">
        <v>242</v>
      </c>
      <c r="C119" s="56" t="s">
        <v>236</v>
      </c>
      <c r="D119" s="57">
        <v>1300100222</v>
      </c>
      <c r="E119" s="58" t="s">
        <v>23</v>
      </c>
      <c r="F119" s="59" t="s">
        <v>24</v>
      </c>
      <c r="G119" s="59" t="s">
        <v>25</v>
      </c>
      <c r="H119" s="60" t="s">
        <v>225</v>
      </c>
      <c r="I119" s="22">
        <f>_xlfn.IFNA(VLOOKUP(A119,[2]库存AMZ!A:CH,8,0),"0")</f>
        <v>12</v>
      </c>
      <c r="J119" s="23" t="str">
        <f>_xlfn.IFNA(IF(I119=0,"-",IF(VLOOKUP(A119,[2]库存AMZ!A:CH,14,0)&gt;0,"≥1 Year",IF(VLOOKUP(A119,[2]库存AMZ!A:CH,13,0)&gt;0,"≥9 Months",IF(VLOOKUP(A119,[2]库存AMZ!A:CH,12,0)&gt;0,"≥6 Months",IF(VLOOKUP(A119,[2]库存AMZ!A:CH,11,0)&gt;0,"≥3 Months","正常"))))),"-")</f>
        <v>≥3 Months</v>
      </c>
      <c r="K119" s="24">
        <f>_xlfn.IFNA(VLOOKUP(A119,[2]库存AMZ!A:CN,56,0),"")</f>
        <v>0</v>
      </c>
      <c r="L119" s="10">
        <f>_xlfn.IFNA(VLOOKUP(A119,[2]库存AMZ!A:CH,59,0),"")</f>
        <v>0</v>
      </c>
    </row>
    <row r="120" customFormat="1" ht="21.6" spans="1:12">
      <c r="A120" s="54" t="s">
        <v>243</v>
      </c>
      <c r="B120" s="55" t="s">
        <v>244</v>
      </c>
      <c r="C120" s="56" t="s">
        <v>236</v>
      </c>
      <c r="D120" s="57">
        <v>1300100222</v>
      </c>
      <c r="E120" s="58" t="s">
        <v>23</v>
      </c>
      <c r="F120" s="59" t="s">
        <v>24</v>
      </c>
      <c r="G120" s="59" t="s">
        <v>25</v>
      </c>
      <c r="H120" s="60" t="s">
        <v>225</v>
      </c>
      <c r="I120" s="22">
        <f>_xlfn.IFNA(VLOOKUP(A120,[2]库存AMZ!A:CH,8,0),"0")</f>
        <v>9</v>
      </c>
      <c r="J120" s="23" t="str">
        <f>_xlfn.IFNA(IF(I120=0,"-",IF(VLOOKUP(A120,[2]库存AMZ!A:CH,14,0)&gt;0,"≥1 Year",IF(VLOOKUP(A120,[2]库存AMZ!A:CH,13,0)&gt;0,"≥9 Months",IF(VLOOKUP(A120,[2]库存AMZ!A:CH,12,0)&gt;0,"≥6 Months",IF(VLOOKUP(A120,[2]库存AMZ!A:CH,11,0)&gt;0,"≥3 Months","正常"))))),"-")</f>
        <v>正常</v>
      </c>
      <c r="K120" s="24">
        <f>_xlfn.IFNA(VLOOKUP(A120,[2]库存AMZ!A:CN,56,0),"")</f>
        <v>0</v>
      </c>
      <c r="L120" s="10">
        <f>_xlfn.IFNA(VLOOKUP(A120,[2]库存AMZ!A:CH,59,0),"")</f>
        <v>0</v>
      </c>
    </row>
    <row r="121" customFormat="1" ht="21.6" spans="1:12">
      <c r="A121" s="54" t="s">
        <v>245</v>
      </c>
      <c r="B121" s="55" t="s">
        <v>246</v>
      </c>
      <c r="C121" s="56" t="s">
        <v>236</v>
      </c>
      <c r="D121" s="57">
        <v>1300100223</v>
      </c>
      <c r="E121" s="58" t="s">
        <v>179</v>
      </c>
      <c r="F121" s="59" t="str">
        <f>VLOOKUP(D121,[2]SKU!A:AK,8,0)</f>
        <v>三维扫描仪-JMS1</v>
      </c>
      <c r="G121" s="59" t="s">
        <v>180</v>
      </c>
      <c r="H121" s="60" t="str">
        <f>VLOOKUP(D121,[2]SKU!A:AK,26,0)</f>
        <v>JMS1</v>
      </c>
      <c r="I121" s="22">
        <f>_xlfn.IFNA(VLOOKUP(A121,[2]库存AMZ!A:CH,8,0),"0")</f>
        <v>1</v>
      </c>
      <c r="J121" s="23" t="str">
        <f>_xlfn.IFNA(IF(I121=0,"-",IF(VLOOKUP(A121,[2]库存AMZ!A:CH,14,0)&gt;0,"≥1 Year",IF(VLOOKUP(A121,[2]库存AMZ!A:CH,13,0)&gt;0,"≥9 Months",IF(VLOOKUP(A121,[2]库存AMZ!A:CH,12,0)&gt;0,"≥6 Months",IF(VLOOKUP(A121,[2]库存AMZ!A:CH,11,0)&gt;0,"≥3 Months","正常"))))),"-")</f>
        <v>正常</v>
      </c>
      <c r="K121" s="24">
        <f>_xlfn.IFNA(VLOOKUP(A121,[2]库存AMZ!A:CN,56,0),"")</f>
        <v>0</v>
      </c>
      <c r="L121" s="10">
        <f>_xlfn.IFNA(VLOOKUP(A121,[2]库存AMZ!A:CH,59,0),"")</f>
        <v>0</v>
      </c>
    </row>
    <row r="122" customFormat="1" ht="21.6" spans="1:12">
      <c r="A122" s="54" t="s">
        <v>247</v>
      </c>
      <c r="B122" s="55" t="s">
        <v>248</v>
      </c>
      <c r="C122" s="56" t="s">
        <v>236</v>
      </c>
      <c r="D122" s="57">
        <v>1300100219</v>
      </c>
      <c r="E122" s="58" t="s">
        <v>19</v>
      </c>
      <c r="F122" s="59" t="str">
        <f>VLOOKUP(D122,[2]SKU!A:AK,8,0)</f>
        <v>三维扫描仪-JMS2</v>
      </c>
      <c r="G122" s="59" t="s">
        <v>21</v>
      </c>
      <c r="H122" s="60" t="str">
        <f>VLOOKUP(D122,[2]SKU!A:AK,26,0)</f>
        <v>JMS2</v>
      </c>
      <c r="I122" s="22">
        <f>_xlfn.IFNA(VLOOKUP(A122,[2]库存AMZ!A:CH,8,0),"0")</f>
        <v>22</v>
      </c>
      <c r="J122" s="23" t="str">
        <f>_xlfn.IFNA(IF(I122=0,"-",IF(VLOOKUP(A122,[2]库存AMZ!A:CH,14,0)&gt;0,"≥1 Year",IF(VLOOKUP(A122,[2]库存AMZ!A:CH,13,0)&gt;0,"≥9 Months",IF(VLOOKUP(A122,[2]库存AMZ!A:CH,12,0)&gt;0,"≥6 Months",IF(VLOOKUP(A122,[2]库存AMZ!A:CH,11,0)&gt;0,"≥3 Months","正常"))))),"-")</f>
        <v>≥6 Months</v>
      </c>
      <c r="K122" s="24">
        <f>_xlfn.IFNA(VLOOKUP(A122,[2]库存AMZ!A:CN,56,0),"")</f>
        <v>0</v>
      </c>
      <c r="L122" s="10">
        <f>_xlfn.IFNA(VLOOKUP(A122,[2]库存AMZ!A:CH,59,0),"")</f>
        <v>0</v>
      </c>
    </row>
    <row r="123" customFormat="1" ht="15.6" spans="1:12">
      <c r="A123" s="54" t="s">
        <v>249</v>
      </c>
      <c r="B123" s="55" t="s">
        <v>250</v>
      </c>
      <c r="C123" s="56" t="s">
        <v>236</v>
      </c>
      <c r="D123" s="57">
        <v>1300100193</v>
      </c>
      <c r="E123" s="58" t="str">
        <f>VLOOKUP(D123,[2]SKU!A:AK,2,0)</f>
        <v>三维扫描仪Seal豪华款(美欧)</v>
      </c>
      <c r="F123" s="59" t="str">
        <f>VLOOKUP(D123,[2]SKU!A:AK,8,0)</f>
        <v>三维扫描仪-JMS2</v>
      </c>
      <c r="G123" s="59" t="s">
        <v>194</v>
      </c>
      <c r="H123" s="60" t="str">
        <f>VLOOKUP(D123,[2]SKU!A:AK,26,0)</f>
        <v>JMS2</v>
      </c>
      <c r="I123" s="22" t="str">
        <f>_xlfn.IFNA(VLOOKUP(A123,[2]库存AMZ!A:CH,8,0),"0")</f>
        <v>0</v>
      </c>
      <c r="J123" s="23" t="str">
        <f>_xlfn.IFNA(IF(I123=0,"-",IF(VLOOKUP(A123,[2]库存AMZ!A:CH,14,0)&gt;0,"≥1 Year",IF(VLOOKUP(A123,[2]库存AMZ!A:CH,13,0)&gt;0,"≥9 Months",IF(VLOOKUP(A123,[2]库存AMZ!A:CH,12,0)&gt;0,"≥6 Months",IF(VLOOKUP(A123,[2]库存AMZ!A:CH,11,0)&gt;0,"≥3 Months","正常"))))),"-")</f>
        <v>-</v>
      </c>
      <c r="K123" s="24" t="str">
        <f>_xlfn.IFNA(VLOOKUP(A123,[2]库存AMZ!A:CN,56,0),"")</f>
        <v/>
      </c>
      <c r="L123" s="10" t="str">
        <f>_xlfn.IFNA(VLOOKUP(A123,[2]库存AMZ!A:CH,59,0),"")</f>
        <v/>
      </c>
    </row>
    <row r="124" customFormat="1" ht="21.6" spans="1:12">
      <c r="A124" s="54" t="s">
        <v>251</v>
      </c>
      <c r="B124" s="55" t="s">
        <v>252</v>
      </c>
      <c r="C124" s="56" t="s">
        <v>236</v>
      </c>
      <c r="D124" s="57">
        <v>1300100155</v>
      </c>
      <c r="E124" s="58" t="str">
        <f>VLOOKUP(D124,[2]SKU!A:AK,2,0)</f>
        <v>三维扫描仪Moose基础款(美规)</v>
      </c>
      <c r="F124" s="59" t="str">
        <f>VLOOKUP(D124,[2]SKU!A:AK,8,0)</f>
        <v>三维扫描仪-JMM3</v>
      </c>
      <c r="G124" s="59" t="s">
        <v>46</v>
      </c>
      <c r="H124" s="60" t="str">
        <f>VLOOKUP(D124,[2]SKU!A:AK,26,0)</f>
        <v>JMM3</v>
      </c>
      <c r="I124" s="22">
        <f>_xlfn.IFNA(VLOOKUP(A124,[2]库存AMZ!A:CH,8,0),"0")</f>
        <v>7</v>
      </c>
      <c r="J124" s="23" t="str">
        <f>_xlfn.IFNA(IF(I124=0,"-",IF(VLOOKUP(A124,[2]库存AMZ!A:CH,14,0)&gt;0,"≥1 Year",IF(VLOOKUP(A124,[2]库存AMZ!A:CH,13,0)&gt;0,"≥9 Months",IF(VLOOKUP(A124,[2]库存AMZ!A:CH,12,0)&gt;0,"≥6 Months",IF(VLOOKUP(A124,[2]库存AMZ!A:CH,11,0)&gt;0,"≥3 Months","正常"))))),"-")</f>
        <v>≥6 Months</v>
      </c>
      <c r="K124" s="24">
        <f>_xlfn.IFNA(VLOOKUP(A124,[2]库存AMZ!A:CN,56,0),"")</f>
        <v>0</v>
      </c>
      <c r="L124" s="10">
        <f>_xlfn.IFNA(VLOOKUP(A124,[2]库存AMZ!A:CH,59,0),"")</f>
        <v>0</v>
      </c>
    </row>
    <row r="125" customFormat="1" ht="21.6" spans="1:12">
      <c r="A125" s="54" t="s">
        <v>253</v>
      </c>
      <c r="B125" s="55" t="s">
        <v>254</v>
      </c>
      <c r="C125" s="56" t="s">
        <v>236</v>
      </c>
      <c r="D125" s="57">
        <v>1300100229</v>
      </c>
      <c r="E125" s="58" t="s">
        <v>45</v>
      </c>
      <c r="F125" s="59" t="str">
        <f>VLOOKUP(D125,[2]SKU!A:AK,8,0)</f>
        <v>三维扫描仪-JMM3</v>
      </c>
      <c r="G125" s="59" t="s">
        <v>46</v>
      </c>
      <c r="H125" s="60" t="str">
        <f>VLOOKUP(D125,[2]SKU!A:AK,26,0)</f>
        <v>JMM3</v>
      </c>
      <c r="I125" s="22">
        <f>_xlfn.IFNA(VLOOKUP(A125,[2]库存AMZ!A:CH,8,0),"0")</f>
        <v>44</v>
      </c>
      <c r="J125" s="23" t="str">
        <f>_xlfn.IFNA(IF(I125=0,"-",IF(VLOOKUP(A125,[2]库存AMZ!A:CH,14,0)&gt;0,"≥1 Year",IF(VLOOKUP(A125,[2]库存AMZ!A:CH,13,0)&gt;0,"≥9 Months",IF(VLOOKUP(A125,[2]库存AMZ!A:CH,12,0)&gt;0,"≥6 Months",IF(VLOOKUP(A125,[2]库存AMZ!A:CH,11,0)&gt;0,"≥3 Months","正常"))))),"-")</f>
        <v>≥6 Months</v>
      </c>
      <c r="K125" s="24">
        <f>_xlfn.IFNA(VLOOKUP(A125,[2]库存AMZ!A:CN,56,0),"")</f>
        <v>0</v>
      </c>
      <c r="L125" s="10">
        <f>_xlfn.IFNA(VLOOKUP(A125,[2]库存AMZ!A:CH,59,0),"")</f>
        <v>0</v>
      </c>
    </row>
    <row r="126" customFormat="1" ht="15.6" spans="1:12">
      <c r="A126" s="54" t="s">
        <v>255</v>
      </c>
      <c r="B126" s="55" t="s">
        <v>256</v>
      </c>
      <c r="C126" s="56" t="s">
        <v>236</v>
      </c>
      <c r="D126" s="57">
        <v>1300100229</v>
      </c>
      <c r="E126" s="58" t="s">
        <v>45</v>
      </c>
      <c r="F126" s="59" t="str">
        <f>VLOOKUP(D126,[2]SKU!A:AK,8,0)</f>
        <v>三维扫描仪-JMM3</v>
      </c>
      <c r="G126" s="59" t="s">
        <v>46</v>
      </c>
      <c r="H126" s="60" t="str">
        <f>VLOOKUP(D126,[2]SKU!A:AK,26,0)</f>
        <v>JMM3</v>
      </c>
      <c r="I126" s="22">
        <f>_xlfn.IFNA(VLOOKUP(A126,[2]库存AMZ!A:CH,8,0),"0")</f>
        <v>1</v>
      </c>
      <c r="J126" s="23" t="str">
        <f>_xlfn.IFNA(IF(I126=0,"-",IF(VLOOKUP(A126,[2]库存AMZ!A:CH,14,0)&gt;0,"≥1 Year",IF(VLOOKUP(A126,[2]库存AMZ!A:CH,13,0)&gt;0,"≥9 Months",IF(VLOOKUP(A126,[2]库存AMZ!A:CH,12,0)&gt;0,"≥6 Months",IF(VLOOKUP(A126,[2]库存AMZ!A:CH,11,0)&gt;0,"≥3 Months","正常"))))),"-")</f>
        <v>≥6 Months</v>
      </c>
      <c r="K126" s="24">
        <f>_xlfn.IFNA(VLOOKUP(A126,[2]库存AMZ!A:CN,56,0),"")</f>
        <v>0</v>
      </c>
      <c r="L126" s="10">
        <f>_xlfn.IFNA(VLOOKUP(A126,[2]库存AMZ!A:CH,59,0),"")</f>
        <v>0</v>
      </c>
    </row>
    <row r="127" customFormat="1" ht="21.6" spans="1:12">
      <c r="A127" s="54" t="s">
        <v>257</v>
      </c>
      <c r="B127" s="55" t="s">
        <v>258</v>
      </c>
      <c r="C127" s="56" t="s">
        <v>236</v>
      </c>
      <c r="D127" s="57">
        <v>1300100229</v>
      </c>
      <c r="E127" s="58" t="s">
        <v>45</v>
      </c>
      <c r="F127" s="59" t="str">
        <f>VLOOKUP(D127,[2]SKU!A:AK,8,0)</f>
        <v>三维扫描仪-JMM3</v>
      </c>
      <c r="G127" s="59" t="s">
        <v>46</v>
      </c>
      <c r="H127" s="60" t="str">
        <f>VLOOKUP(D127,[2]SKU!A:AK,26,0)</f>
        <v>JMM3</v>
      </c>
      <c r="I127" s="22">
        <f>_xlfn.IFNA(VLOOKUP(A127,[2]库存AMZ!A:CH,8,0),"0")</f>
        <v>12</v>
      </c>
      <c r="J127" s="23" t="str">
        <f>_xlfn.IFNA(IF(I127=0,"-",IF(VLOOKUP(A127,[2]库存AMZ!A:CH,14,0)&gt;0,"≥1 Year",IF(VLOOKUP(A127,[2]库存AMZ!A:CH,13,0)&gt;0,"≥9 Months",IF(VLOOKUP(A127,[2]库存AMZ!A:CH,12,0)&gt;0,"≥6 Months",IF(VLOOKUP(A127,[2]库存AMZ!A:CH,11,0)&gt;0,"≥3 Months","正常"))))),"-")</f>
        <v>正常</v>
      </c>
      <c r="K127" s="24">
        <f>_xlfn.IFNA(VLOOKUP(A127,[2]库存AMZ!A:CN,56,0),"")</f>
        <v>0</v>
      </c>
      <c r="L127" s="10">
        <f>_xlfn.IFNA(VLOOKUP(A127,[2]库存AMZ!A:CH,59,0),"")</f>
        <v>0</v>
      </c>
    </row>
    <row r="128" s="2" customFormat="1" ht="15.6" spans="1:12">
      <c r="A128" s="61" t="s">
        <v>259</v>
      </c>
      <c r="B128" s="62" t="s">
        <v>260</v>
      </c>
      <c r="C128" s="63" t="s">
        <v>236</v>
      </c>
      <c r="D128" s="57">
        <v>1300100230</v>
      </c>
      <c r="E128" s="58" t="s">
        <v>48</v>
      </c>
      <c r="F128" s="59" t="str">
        <f>VLOOKUP(D128,[2]SKU!A:AK,8,0)</f>
        <v>三维扫描仪-JMM3</v>
      </c>
      <c r="G128" s="59" t="s">
        <v>50</v>
      </c>
      <c r="H128" s="60" t="str">
        <f>VLOOKUP(D128,[2]SKU!A:AK,26,0)</f>
        <v>JMM3</v>
      </c>
      <c r="I128" s="22">
        <f>_xlfn.IFNA(VLOOKUP(A128,[2]库存AMZ!A:CH,8,0),"0")</f>
        <v>1</v>
      </c>
      <c r="J128" s="23" t="str">
        <f>_xlfn.IFNA(IF(I128=0,"-",IF(VLOOKUP(A128,[2]库存AMZ!A:CH,14,0)&gt;0,"≥1 Year",IF(VLOOKUP(A128,[2]库存AMZ!A:CH,13,0)&gt;0,"≥9 Months",IF(VLOOKUP(A128,[2]库存AMZ!A:CH,12,0)&gt;0,"≥6 Months",IF(VLOOKUP(A128,[2]库存AMZ!A:CH,11,0)&gt;0,"≥3 Months","正常"))))),"-")</f>
        <v>正常</v>
      </c>
      <c r="K128" s="24">
        <f>_xlfn.IFNA(VLOOKUP(A128,[2]库存AMZ!A:CN,56,0),"")</f>
        <v>0</v>
      </c>
      <c r="L128" s="10">
        <f>_xlfn.IFNA(VLOOKUP(A128,[2]库存AMZ!A:CH,59,0),"")</f>
        <v>0</v>
      </c>
    </row>
    <row r="129" s="2" customFormat="1" ht="21.6" spans="1:12">
      <c r="A129" s="61" t="s">
        <v>261</v>
      </c>
      <c r="B129" s="62" t="s">
        <v>262</v>
      </c>
      <c r="C129" s="63" t="s">
        <v>236</v>
      </c>
      <c r="D129" s="57">
        <v>1300100230</v>
      </c>
      <c r="E129" s="58" t="s">
        <v>48</v>
      </c>
      <c r="F129" s="59" t="str">
        <f>VLOOKUP(D129,[2]SKU!A:AK,8,0)</f>
        <v>三维扫描仪-JMM3</v>
      </c>
      <c r="G129" s="59" t="s">
        <v>50</v>
      </c>
      <c r="H129" s="60" t="str">
        <f>VLOOKUP(D129,[2]SKU!A:AK,26,0)</f>
        <v>JMM3</v>
      </c>
      <c r="I129" s="22">
        <f>_xlfn.IFNA(VLOOKUP(A129,[2]库存AMZ!A:CH,8,0),"0")</f>
        <v>5</v>
      </c>
      <c r="J129" s="23" t="str">
        <f>_xlfn.IFNA(IF(I129=0,"-",IF(VLOOKUP(A129,[2]库存AMZ!A:CH,14,0)&gt;0,"≥1 Year",IF(VLOOKUP(A129,[2]库存AMZ!A:CH,13,0)&gt;0,"≥9 Months",IF(VLOOKUP(A129,[2]库存AMZ!A:CH,12,0)&gt;0,"≥6 Months",IF(VLOOKUP(A129,[2]库存AMZ!A:CH,11,0)&gt;0,"≥3 Months","正常"))))),"-")</f>
        <v>正常</v>
      </c>
      <c r="K129" s="24">
        <f>_xlfn.IFNA(VLOOKUP(A129,[2]库存AMZ!A:CN,56,0),"")</f>
        <v>0</v>
      </c>
      <c r="L129" s="10">
        <f>_xlfn.IFNA(VLOOKUP(A129,[2]库存AMZ!A:CH,59,0),"")</f>
        <v>0</v>
      </c>
    </row>
    <row r="130" s="2" customFormat="1" ht="21.6" spans="1:12">
      <c r="A130" s="61" t="s">
        <v>263</v>
      </c>
      <c r="B130" s="62" t="s">
        <v>264</v>
      </c>
      <c r="C130" s="63" t="s">
        <v>236</v>
      </c>
      <c r="D130" s="57">
        <v>1300100232</v>
      </c>
      <c r="E130" s="58" t="s">
        <v>56</v>
      </c>
      <c r="F130" s="59" t="str">
        <f>VLOOKUP(D130,[2]SKU!A:AK,8,0)</f>
        <v>三维扫描仪-JMM4</v>
      </c>
      <c r="G130" s="59" t="s">
        <v>57</v>
      </c>
      <c r="H130" s="60" t="str">
        <f>VLOOKUP(D130,[2]SKU!A:AK,26,0)</f>
        <v>JMM4</v>
      </c>
      <c r="I130" s="22">
        <f>_xlfn.IFNA(VLOOKUP(A130,[2]库存AMZ!A:CH,8,0),"0")</f>
        <v>40</v>
      </c>
      <c r="J130" s="23" t="str">
        <f>_xlfn.IFNA(IF(I130=0,"-",IF(VLOOKUP(A130,[2]库存AMZ!A:CH,14,0)&gt;0,"≥1 Year",IF(VLOOKUP(A130,[2]库存AMZ!A:CH,13,0)&gt;0,"≥9 Months",IF(VLOOKUP(A130,[2]库存AMZ!A:CH,12,0)&gt;0,"≥6 Months",IF(VLOOKUP(A130,[2]库存AMZ!A:CH,11,0)&gt;0,"≥3 Months","正常"))))),"-")</f>
        <v>≥3 Months</v>
      </c>
      <c r="K130" s="47">
        <v>60</v>
      </c>
      <c r="L130" s="10">
        <f>_xlfn.IFNA(VLOOKUP(A130,[2]库存AMZ!A:CH,59,0),"")</f>
        <v>0</v>
      </c>
    </row>
    <row r="131" ht="21.6" spans="1:12">
      <c r="A131" s="61" t="s">
        <v>265</v>
      </c>
      <c r="B131" s="62" t="s">
        <v>266</v>
      </c>
      <c r="C131" s="63" t="s">
        <v>236</v>
      </c>
      <c r="D131" s="57">
        <v>1300100233</v>
      </c>
      <c r="E131" s="58" t="s">
        <v>59</v>
      </c>
      <c r="F131" s="59" t="str">
        <f>VLOOKUP(D131,[2]SKU!A:AK,8,0)</f>
        <v>三维扫描仪-JMM4</v>
      </c>
      <c r="G131" s="59" t="s">
        <v>61</v>
      </c>
      <c r="H131" s="60" t="str">
        <f>VLOOKUP(D131,[2]SKU!A:AK,26,0)</f>
        <v>JMM4</v>
      </c>
      <c r="I131" s="22">
        <f>_xlfn.IFNA(VLOOKUP(A131,[2]库存AMZ!A:CH,8,0),"0")</f>
        <v>54</v>
      </c>
      <c r="J131" s="23" t="str">
        <f>_xlfn.IFNA(IF(I131=0,"-",IF(VLOOKUP(A131,[2]库存AMZ!A:CH,14,0)&gt;0,"≥1 Year",IF(VLOOKUP(A131,[2]库存AMZ!A:CH,13,0)&gt;0,"≥9 Months",IF(VLOOKUP(A131,[2]库存AMZ!A:CH,12,0)&gt;0,"≥6 Months",IF(VLOOKUP(A131,[2]库存AMZ!A:CH,11,0)&gt;0,"≥3 Months","正常"))))),"-")</f>
        <v>≥3 Months</v>
      </c>
      <c r="K131" s="24">
        <f>_xlfn.IFNA(VLOOKUP(A131,[2]库存AMZ!A:CN,56,0),"")</f>
        <v>0</v>
      </c>
      <c r="L131" s="10">
        <f>_xlfn.IFNA(VLOOKUP(A131,[2]库存AMZ!A:CH,59,0),"")</f>
        <v>0</v>
      </c>
    </row>
    <row r="132" ht="15.6" spans="1:12">
      <c r="A132" s="61" t="s">
        <v>267</v>
      </c>
      <c r="B132" s="62" t="s">
        <v>268</v>
      </c>
      <c r="C132" s="63" t="s">
        <v>236</v>
      </c>
      <c r="D132" s="57">
        <v>1300100082</v>
      </c>
      <c r="E132" s="58" t="str">
        <f>VLOOKUP(D132,[2]SKU!A:AK,2,0)</f>
        <v>三维扫描仪智能手柄</v>
      </c>
      <c r="F132" s="59" t="str">
        <f>VLOOKUP(D132,[2]SKU!A:AK,8,0)</f>
        <v>三维扫描仪备品备件</v>
      </c>
      <c r="G132" s="59" t="s">
        <v>35</v>
      </c>
      <c r="H132" s="60" t="str">
        <f>VLOOKUP(D132,[2]SKU!A:AK,26,0)</f>
        <v>JMB1</v>
      </c>
      <c r="I132" s="22">
        <f>_xlfn.IFNA(VLOOKUP(A132,[2]库存AMZ!A:CH,8,0),"0")</f>
        <v>4</v>
      </c>
      <c r="J132" s="23" t="str">
        <f>_xlfn.IFNA(IF(I132=0,"-",IF(VLOOKUP(A132,[2]库存AMZ!A:CH,14,0)&gt;0,"≥1 Year",IF(VLOOKUP(A132,[2]库存AMZ!A:CH,13,0)&gt;0,"≥9 Months",IF(VLOOKUP(A132,[2]库存AMZ!A:CH,12,0)&gt;0,"≥6 Months",IF(VLOOKUP(A132,[2]库存AMZ!A:CH,11,0)&gt;0,"≥3 Months","正常"))))),"-")</f>
        <v>≥3 Months</v>
      </c>
      <c r="K132" s="47">
        <v>12</v>
      </c>
      <c r="L132" s="10">
        <f>_xlfn.IFNA(VLOOKUP(A132,[2]库存AMZ!A:CH,59,0),"")</f>
        <v>0</v>
      </c>
    </row>
    <row r="133" ht="15.6" spans="1:12">
      <c r="A133" s="61" t="s">
        <v>269</v>
      </c>
      <c r="B133" s="62"/>
      <c r="C133" s="63" t="s">
        <v>236</v>
      </c>
      <c r="D133" s="57">
        <v>1021900174</v>
      </c>
      <c r="E133" s="58" t="s">
        <v>270</v>
      </c>
      <c r="F133" s="59" t="str">
        <f>VLOOKUP(D133,[2]SKU!A:AK,8,0)</f>
        <v>三维扫描仪备品备件</v>
      </c>
      <c r="G133" s="59" t="s">
        <v>15</v>
      </c>
      <c r="H133" s="60" t="s">
        <v>15</v>
      </c>
      <c r="I133" s="22">
        <f>_xlfn.IFNA(VLOOKUP(A133,[2]库存AMZ!A:CH,8,0),"0")</f>
        <v>37</v>
      </c>
      <c r="J133" s="23" t="str">
        <f>_xlfn.IFNA(IF(I133=0,"-",IF(VLOOKUP(A133,[2]库存AMZ!A:CH,14,0)&gt;0,"≥1 Year",IF(VLOOKUP(A133,[2]库存AMZ!A:CH,13,0)&gt;0,"≥9 Months",IF(VLOOKUP(A133,[2]库存AMZ!A:CH,12,0)&gt;0,"≥6 Months",IF(VLOOKUP(A133,[2]库存AMZ!A:CH,11,0)&gt;0,"≥3 Months","正常"))))),"-")</f>
        <v>≥6 Months</v>
      </c>
      <c r="K133" s="24">
        <f>_xlfn.IFNA(VLOOKUP(A133,[2]库存AMZ!A:CN,56,0),"")</f>
        <v>0</v>
      </c>
      <c r="L133" s="10">
        <f>_xlfn.IFNA(VLOOKUP(A133,[2]库存AMZ!A:CH,59,0),"")</f>
        <v>0</v>
      </c>
    </row>
    <row r="134" ht="21.6" spans="1:12">
      <c r="A134" s="61" t="s">
        <v>271</v>
      </c>
      <c r="B134" s="62" t="s">
        <v>272</v>
      </c>
      <c r="C134" s="63" t="s">
        <v>236</v>
      </c>
      <c r="D134" s="57">
        <v>1300100118</v>
      </c>
      <c r="E134" s="58" t="s">
        <v>273</v>
      </c>
      <c r="F134" s="59" t="str">
        <f>VLOOKUP(D134,[2]SKU!A:AK,8,0)</f>
        <v>三维扫描仪备品备件</v>
      </c>
      <c r="G134" s="59" t="s">
        <v>29</v>
      </c>
      <c r="H134" s="60" t="str">
        <f>VLOOKUP(D134,[2]SKU!A:AK,26,0)</f>
        <v>-</v>
      </c>
      <c r="I134" s="22">
        <f>_xlfn.IFNA(VLOOKUP(A134,[2]库存AMZ!A:CH,8,0),"0")</f>
        <v>67</v>
      </c>
      <c r="J134" s="23" t="str">
        <f>_xlfn.IFNA(IF(I134=0,"-",IF(VLOOKUP(A134,[2]库存AMZ!A:CH,14,0)&gt;0,"≥1 Year",IF(VLOOKUP(A134,[2]库存AMZ!A:CH,13,0)&gt;0,"≥9 Months",IF(VLOOKUP(A134,[2]库存AMZ!A:CH,12,0)&gt;0,"≥6 Months",IF(VLOOKUP(A134,[2]库存AMZ!A:CH,11,0)&gt;0,"≥3 Months","正常"))))),"-")</f>
        <v>≥3 Months</v>
      </c>
      <c r="K134" s="47">
        <v>90</v>
      </c>
      <c r="L134" s="10">
        <f>_xlfn.IFNA(VLOOKUP(A134,[2]库存AMZ!A:CH,59,0),"")</f>
        <v>0</v>
      </c>
    </row>
    <row r="135" ht="21.6" spans="1:12">
      <c r="A135" s="61" t="s">
        <v>274</v>
      </c>
      <c r="B135" s="62" t="s">
        <v>275</v>
      </c>
      <c r="C135" s="63" t="s">
        <v>236</v>
      </c>
      <c r="D135" s="57">
        <v>1300100118</v>
      </c>
      <c r="E135" s="58" t="s">
        <v>273</v>
      </c>
      <c r="F135" s="59" t="str">
        <f>VLOOKUP(D135,[2]SKU!A:AK,8,0)</f>
        <v>三维扫描仪备品备件</v>
      </c>
      <c r="G135" s="59" t="s">
        <v>29</v>
      </c>
      <c r="H135" s="60" t="str">
        <f>VLOOKUP(D135,[2]SKU!A:AK,26,0)</f>
        <v>-</v>
      </c>
      <c r="I135" s="22">
        <f>_xlfn.IFNA(VLOOKUP(A135,[2]库存AMZ!A:CH,8,0),"0")</f>
        <v>33</v>
      </c>
      <c r="J135" s="23" t="str">
        <f>_xlfn.IFNA(IF(I135=0,"-",IF(VLOOKUP(A135,[2]库存AMZ!A:CH,14,0)&gt;0,"≥1 Year",IF(VLOOKUP(A135,[2]库存AMZ!A:CH,13,0)&gt;0,"≥9 Months",IF(VLOOKUP(A135,[2]库存AMZ!A:CH,12,0)&gt;0,"≥6 Months",IF(VLOOKUP(A135,[2]库存AMZ!A:CH,11,0)&gt;0,"≥3 Months","正常"))))),"-")</f>
        <v>正常</v>
      </c>
      <c r="K135" s="24">
        <f>_xlfn.IFNA(VLOOKUP(A135,[2]库存AMZ!A:CN,56,0),"")</f>
        <v>0</v>
      </c>
      <c r="L135" s="10">
        <f>_xlfn.IFNA(VLOOKUP(A135,[2]库存AMZ!A:CH,59,0),"")</f>
        <v>0</v>
      </c>
    </row>
    <row r="136" ht="21.6" spans="1:12">
      <c r="A136" s="61" t="s">
        <v>276</v>
      </c>
      <c r="B136" s="62" t="s">
        <v>277</v>
      </c>
      <c r="C136" s="63" t="s">
        <v>236</v>
      </c>
      <c r="D136" s="57">
        <v>1300100076</v>
      </c>
      <c r="E136" s="58" t="s">
        <v>278</v>
      </c>
      <c r="F136" s="59" t="str">
        <f>VLOOKUP(D136,[2]SKU!A:AK,8,0)</f>
        <v>三维扫描仪备品备件</v>
      </c>
      <c r="G136" s="59" t="s">
        <v>15</v>
      </c>
      <c r="H136" s="60" t="str">
        <f>VLOOKUP(D136,[2]SKU!A:AK,26,0)</f>
        <v>-</v>
      </c>
      <c r="I136" s="22">
        <f>_xlfn.IFNA(VLOOKUP(A136,[2]库存AMZ!A:CH,8,0),"0")</f>
        <v>57</v>
      </c>
      <c r="J136" s="23" t="str">
        <f>_xlfn.IFNA(IF(I136=0,"-",IF(VLOOKUP(A136,[2]库存AMZ!A:CH,14,0)&gt;0,"≥1 Year",IF(VLOOKUP(A136,[2]库存AMZ!A:CH,13,0)&gt;0,"≥9 Months",IF(VLOOKUP(A136,[2]库存AMZ!A:CH,12,0)&gt;0,"≥6 Months",IF(VLOOKUP(A136,[2]库存AMZ!A:CH,11,0)&gt;0,"≥3 Months","正常"))))),"-")</f>
        <v>≥3 Months</v>
      </c>
      <c r="K136" s="24">
        <f>_xlfn.IFNA(VLOOKUP(A136,[2]库存AMZ!A:CN,56,0),"")</f>
        <v>0</v>
      </c>
      <c r="L136" s="10">
        <f>_xlfn.IFNA(VLOOKUP(A136,[2]库存AMZ!A:CH,59,0),"")</f>
        <v>0</v>
      </c>
    </row>
    <row r="137" ht="21.6" spans="1:12">
      <c r="A137" s="61" t="s">
        <v>279</v>
      </c>
      <c r="B137" s="62" t="s">
        <v>280</v>
      </c>
      <c r="C137" s="63" t="s">
        <v>236</v>
      </c>
      <c r="D137" s="57">
        <v>1200100064</v>
      </c>
      <c r="E137" s="58" t="str">
        <f>VLOOKUP(D137,[2]SKU!A:AK,2,0)</f>
        <v>Seal三脚架套装</v>
      </c>
      <c r="F137" s="59" t="str">
        <f>VLOOKUP(D137,[2]SKU!A:AK,8,0)</f>
        <v>三维扫描仪备品备件</v>
      </c>
      <c r="G137" s="59" t="s">
        <v>32</v>
      </c>
      <c r="H137" s="60" t="str">
        <f>VLOOKUP(D137,[2]SKU!A:AK,26,0)</f>
        <v>-</v>
      </c>
      <c r="I137" s="22">
        <f>_xlfn.IFNA(VLOOKUP(A137,[2]库存AMZ!A:CH,8,0),"0")</f>
        <v>37</v>
      </c>
      <c r="J137" s="23" t="str">
        <f>_xlfn.IFNA(IF(I137=0,"-",IF(VLOOKUP(A137,[2]库存AMZ!A:CH,14,0)&gt;0,"≥1 Year",IF(VLOOKUP(A137,[2]库存AMZ!A:CH,13,0)&gt;0,"≥9 Months",IF(VLOOKUP(A137,[2]库存AMZ!A:CH,12,0)&gt;0,"≥6 Months",IF(VLOOKUP(A137,[2]库存AMZ!A:CH,11,0)&gt;0,"≥3 Months","正常"))))),"-")</f>
        <v>正常</v>
      </c>
      <c r="K137" s="47">
        <v>50</v>
      </c>
      <c r="L137" s="10">
        <f>_xlfn.IFNA(VLOOKUP(A137,[2]库存AMZ!A:CH,59,0),"")</f>
        <v>0</v>
      </c>
    </row>
    <row r="138" customFormat="1" ht="15.6" spans="1:12">
      <c r="A138" s="64" t="s">
        <v>281</v>
      </c>
      <c r="B138" s="55"/>
      <c r="C138" s="56" t="s">
        <v>236</v>
      </c>
      <c r="D138" s="65">
        <v>1300100240</v>
      </c>
      <c r="E138" s="66" t="s">
        <v>84</v>
      </c>
      <c r="F138" s="60" t="s">
        <v>80</v>
      </c>
      <c r="G138" s="60" t="s">
        <v>85</v>
      </c>
      <c r="H138" s="60" t="s">
        <v>82</v>
      </c>
      <c r="I138" s="22">
        <f>_xlfn.IFNA(VLOOKUP(A138,[2]库存AMZ!A:CH,8,0),"0")</f>
        <v>9</v>
      </c>
      <c r="J138" s="23" t="str">
        <f>_xlfn.IFNA(IF(I138=0,"-",IF(VLOOKUP(A138,[2]库存AMZ!A:CH,14,0)&gt;0,"≥1 Year",IF(VLOOKUP(A138,[2]库存AMZ!A:CH,13,0)&gt;0,"≥9 Months",IF(VLOOKUP(A138,[2]库存AMZ!A:CH,12,0)&gt;0,"≥6 Months",IF(VLOOKUP(A138,[2]库存AMZ!A:CH,11,0)&gt;0,"≥3 Months","正常"))))),"-")</f>
        <v>正常</v>
      </c>
      <c r="K138" s="24">
        <f>_xlfn.IFNA(VLOOKUP(A138,[2]库存AMZ!A:CN,56,0),"")</f>
        <v>0</v>
      </c>
      <c r="L138" s="10">
        <f>_xlfn.IFNA(VLOOKUP(A138,[2]库存AMZ!A:CH,59,0),"")</f>
        <v>0</v>
      </c>
    </row>
    <row r="139" customFormat="1" ht="15.6" spans="1:12">
      <c r="A139" s="64" t="s">
        <v>282</v>
      </c>
      <c r="B139" s="55"/>
      <c r="C139" s="56" t="s">
        <v>236</v>
      </c>
      <c r="D139" s="65">
        <v>1300100246</v>
      </c>
      <c r="E139" s="66" t="s">
        <v>79</v>
      </c>
      <c r="F139" s="60" t="s">
        <v>80</v>
      </c>
      <c r="G139" s="60" t="s">
        <v>81</v>
      </c>
      <c r="H139" s="60" t="s">
        <v>82</v>
      </c>
      <c r="I139" s="22">
        <f>_xlfn.IFNA(VLOOKUP(A139,[2]库存AMZ!A:CH,8,0),"0")</f>
        <v>9</v>
      </c>
      <c r="J139" s="23" t="str">
        <f>_xlfn.IFNA(IF(I139=0,"-",IF(VLOOKUP(A139,[2]库存AMZ!A:CH,14,0)&gt;0,"≥1 Year",IF(VLOOKUP(A139,[2]库存AMZ!A:CH,13,0)&gt;0,"≥9 Months",IF(VLOOKUP(A139,[2]库存AMZ!A:CH,12,0)&gt;0,"≥6 Months",IF(VLOOKUP(A139,[2]库存AMZ!A:CH,11,0)&gt;0,"≥3 Months","正常"))))),"-")</f>
        <v>正常</v>
      </c>
      <c r="K139" s="24">
        <f>_xlfn.IFNA(VLOOKUP(A139,[2]库存AMZ!A:CN,56,0),"")</f>
        <v>0</v>
      </c>
      <c r="L139" s="10">
        <f>_xlfn.IFNA(VLOOKUP(A139,[2]库存AMZ!A:CH,59,0),"")</f>
        <v>0</v>
      </c>
    </row>
    <row r="140" customFormat="1" ht="15.6" spans="1:12">
      <c r="A140" s="64" t="s">
        <v>283</v>
      </c>
      <c r="B140" s="55"/>
      <c r="C140" s="56" t="s">
        <v>236</v>
      </c>
      <c r="D140" s="65">
        <v>1300100260</v>
      </c>
      <c r="E140" s="66" t="s">
        <v>114</v>
      </c>
      <c r="F140" s="60" t="s">
        <v>115</v>
      </c>
      <c r="G140" s="60" t="s">
        <v>116</v>
      </c>
      <c r="H140" s="60" t="s">
        <v>117</v>
      </c>
      <c r="I140" s="22" t="str">
        <f>_xlfn.IFNA(VLOOKUP(A140,[2]库存AMZ!A:CH,8,0),"0")</f>
        <v>0</v>
      </c>
      <c r="J140" s="23" t="str">
        <f>_xlfn.IFNA(IF(I140=0,"-",IF(VLOOKUP(A140,[2]库存AMZ!A:CH,14,0)&gt;0,"≥1 Year",IF(VLOOKUP(A140,[2]库存AMZ!A:CH,13,0)&gt;0,"≥9 Months",IF(VLOOKUP(A140,[2]库存AMZ!A:CH,12,0)&gt;0,"≥6 Months",IF(VLOOKUP(A140,[2]库存AMZ!A:CH,11,0)&gt;0,"≥3 Months","正常"))))),"-")</f>
        <v>-</v>
      </c>
      <c r="K140" s="47">
        <v>100</v>
      </c>
      <c r="L140" s="10" t="str">
        <f>_xlfn.IFNA(VLOOKUP(A140,[2]库存AMZ!A:CH,59,0),"")</f>
        <v/>
      </c>
    </row>
    <row r="141" customFormat="1" ht="15.6" spans="1:12">
      <c r="A141" s="67" t="s">
        <v>284</v>
      </c>
      <c r="B141" s="68" t="s">
        <v>285</v>
      </c>
      <c r="C141" s="69" t="s">
        <v>286</v>
      </c>
      <c r="D141" s="70">
        <v>1300100045</v>
      </c>
      <c r="E141" s="71" t="s">
        <v>287</v>
      </c>
      <c r="F141" s="72" t="s">
        <v>127</v>
      </c>
      <c r="G141" s="72" t="s">
        <v>128</v>
      </c>
      <c r="H141" s="68" t="s">
        <v>129</v>
      </c>
      <c r="I141" s="22" t="str">
        <f>_xlfn.IFNA(VLOOKUP(A141,[2]库存AMZ!A:CH,8,0),"0")</f>
        <v>0</v>
      </c>
      <c r="J141" s="23" t="str">
        <f>_xlfn.IFNA(IF(I141=0,"-",IF(VLOOKUP(A141,[2]库存AMZ!A:CH,14,0)&gt;0,"≥1 Year",IF(VLOOKUP(A141,[2]库存AMZ!A:CH,13,0)&gt;0,"≥9 Months",IF(VLOOKUP(A141,[2]库存AMZ!A:CH,12,0)&gt;0,"≥6 Months",IF(VLOOKUP(A141,[2]库存AMZ!A:CH,11,0)&gt;0,"≥3 Months","正常"))))),"-")</f>
        <v>-</v>
      </c>
      <c r="K141" s="24" t="str">
        <f>_xlfn.IFNA(VLOOKUP(A141,[2]库存AMZ!A:CN,56,0),"")</f>
        <v/>
      </c>
      <c r="L141" s="10" t="str">
        <f>_xlfn.IFNA(VLOOKUP(A141,[2]库存AMZ!A:CH,59,0),"")</f>
        <v/>
      </c>
    </row>
    <row r="142" customFormat="1" ht="15.6" spans="1:12">
      <c r="A142" s="67" t="s">
        <v>288</v>
      </c>
      <c r="B142" s="68" t="s">
        <v>289</v>
      </c>
      <c r="C142" s="69" t="s">
        <v>286</v>
      </c>
      <c r="D142" s="70">
        <v>1300100038</v>
      </c>
      <c r="E142" s="71" t="s">
        <v>290</v>
      </c>
      <c r="F142" s="72" t="s">
        <v>291</v>
      </c>
      <c r="G142" s="72" t="s">
        <v>136</v>
      </c>
      <c r="H142" s="68" t="s">
        <v>292</v>
      </c>
      <c r="I142" s="22">
        <f>_xlfn.IFNA(VLOOKUP(A142,[2]库存AMZ!A:CH,8,0),"0")</f>
        <v>8</v>
      </c>
      <c r="J142" s="23" t="str">
        <f>_xlfn.IFNA(IF(I142=0,"-",IF(VLOOKUP(A142,[2]库存AMZ!A:CH,14,0)&gt;0,"≥1 Year",IF(VLOOKUP(A142,[2]库存AMZ!A:CH,13,0)&gt;0,"≥9 Months",IF(VLOOKUP(A142,[2]库存AMZ!A:CH,12,0)&gt;0,"≥6 Months",IF(VLOOKUP(A142,[2]库存AMZ!A:CH,11,0)&gt;0,"≥3 Months","正常"))))),"-")</f>
        <v>≥1 Year</v>
      </c>
      <c r="K142" s="24">
        <f>_xlfn.IFNA(VLOOKUP(A142,[2]库存AMZ!A:CN,56,0),"")</f>
        <v>0</v>
      </c>
      <c r="L142" s="10">
        <f>_xlfn.IFNA(VLOOKUP(A142,[2]库存AMZ!A:CH,59,0),"")</f>
        <v>0</v>
      </c>
    </row>
    <row r="143" customFormat="1" ht="15.6" spans="1:12">
      <c r="A143" s="67" t="s">
        <v>293</v>
      </c>
      <c r="B143" s="68" t="s">
        <v>294</v>
      </c>
      <c r="C143" s="69" t="s">
        <v>286</v>
      </c>
      <c r="D143" s="70">
        <v>1300100039</v>
      </c>
      <c r="E143" s="71" t="s">
        <v>295</v>
      </c>
      <c r="F143" s="72" t="s">
        <v>291</v>
      </c>
      <c r="G143" s="72" t="s">
        <v>138</v>
      </c>
      <c r="H143" s="68" t="s">
        <v>292</v>
      </c>
      <c r="I143" s="22">
        <f>_xlfn.IFNA(VLOOKUP(A143,[2]库存AMZ!A:CH,8,0),"0")</f>
        <v>6</v>
      </c>
      <c r="J143" s="23" t="str">
        <f>_xlfn.IFNA(IF(I143=0,"-",IF(VLOOKUP(A143,[2]库存AMZ!A:CH,14,0)&gt;0,"≥1 Year",IF(VLOOKUP(A143,[2]库存AMZ!A:CH,13,0)&gt;0,"≥9 Months",IF(VLOOKUP(A143,[2]库存AMZ!A:CH,12,0)&gt;0,"≥6 Months",IF(VLOOKUP(A143,[2]库存AMZ!A:CH,11,0)&gt;0,"≥3 Months","正常"))))),"-")</f>
        <v>≥6 Months</v>
      </c>
      <c r="K143" s="24">
        <f>_xlfn.IFNA(VLOOKUP(A143,[2]库存AMZ!A:CN,56,0),"")</f>
        <v>0</v>
      </c>
      <c r="L143" s="10">
        <f>_xlfn.IFNA(VLOOKUP(A143,[2]库存AMZ!A:CH,59,0),"")</f>
        <v>0</v>
      </c>
    </row>
    <row r="144" customFormat="1" ht="21.6" spans="1:12">
      <c r="A144" s="67" t="s">
        <v>296</v>
      </c>
      <c r="B144" s="68" t="s">
        <v>297</v>
      </c>
      <c r="C144" s="69" t="s">
        <v>286</v>
      </c>
      <c r="D144" s="70">
        <v>1300100159</v>
      </c>
      <c r="E144" s="71" t="s">
        <v>298</v>
      </c>
      <c r="F144" s="72" t="s">
        <v>60</v>
      </c>
      <c r="G144" s="72" t="s">
        <v>57</v>
      </c>
      <c r="H144" s="68" t="s">
        <v>62</v>
      </c>
      <c r="I144" s="22">
        <f>_xlfn.IFNA(VLOOKUP(A144,[2]库存AMZ!A:CH,8,0),"0")</f>
        <v>27</v>
      </c>
      <c r="J144" s="23" t="str">
        <f>_xlfn.IFNA(IF(I144=0,"-",IF(VLOOKUP(A144,[2]库存AMZ!A:CH,14,0)&gt;0,"≥1 Year",IF(VLOOKUP(A144,[2]库存AMZ!A:CH,13,0)&gt;0,"≥9 Months",IF(VLOOKUP(A144,[2]库存AMZ!A:CH,12,0)&gt;0,"≥6 Months",IF(VLOOKUP(A144,[2]库存AMZ!A:CH,11,0)&gt;0,"≥3 Months","正常"))))),"-")</f>
        <v>正常</v>
      </c>
      <c r="K144" s="24">
        <f>_xlfn.IFNA(VLOOKUP(A144,[2]库存AMZ!A:CN,56,0),"")</f>
        <v>0</v>
      </c>
      <c r="L144" s="10">
        <f>_xlfn.IFNA(VLOOKUP(A144,[2]库存AMZ!A:CH,59,0),"")</f>
        <v>0</v>
      </c>
    </row>
    <row r="145" customFormat="1" ht="21.6" spans="1:12">
      <c r="A145" s="67" t="s">
        <v>299</v>
      </c>
      <c r="B145" s="68" t="s">
        <v>300</v>
      </c>
      <c r="C145" s="69" t="s">
        <v>286</v>
      </c>
      <c r="D145" s="70">
        <v>1300100232</v>
      </c>
      <c r="E145" s="71" t="s">
        <v>56</v>
      </c>
      <c r="F145" s="72" t="s">
        <v>60</v>
      </c>
      <c r="G145" s="72" t="s">
        <v>57</v>
      </c>
      <c r="H145" s="68" t="s">
        <v>62</v>
      </c>
      <c r="I145" s="22">
        <f>_xlfn.IFNA(VLOOKUP(A145,[2]库存AMZ!A:CH,8,0),"0")</f>
        <v>10</v>
      </c>
      <c r="J145" s="23" t="str">
        <f>_xlfn.IFNA(IF(I145=0,"-",IF(VLOOKUP(A145,[2]库存AMZ!A:CH,14,0)&gt;0,"≥1 Year",IF(VLOOKUP(A145,[2]库存AMZ!A:CH,13,0)&gt;0,"≥9 Months",IF(VLOOKUP(A145,[2]库存AMZ!A:CH,12,0)&gt;0,"≥6 Months",IF(VLOOKUP(A145,[2]库存AMZ!A:CH,11,0)&gt;0,"≥3 Months","正常"))))),"-")</f>
        <v>正常</v>
      </c>
      <c r="K145" s="73">
        <v>20</v>
      </c>
      <c r="L145" s="10">
        <f>_xlfn.IFNA(VLOOKUP(A145,[2]库存AMZ!A:CH,59,0),"")</f>
        <v>0</v>
      </c>
    </row>
    <row r="146" customFormat="1" ht="21.6" spans="1:12">
      <c r="A146" s="67" t="s">
        <v>301</v>
      </c>
      <c r="B146" s="68" t="s">
        <v>302</v>
      </c>
      <c r="C146" s="69" t="s">
        <v>286</v>
      </c>
      <c r="D146" s="70">
        <v>1300100233</v>
      </c>
      <c r="E146" s="71" t="s">
        <v>59</v>
      </c>
      <c r="F146" s="72" t="s">
        <v>60</v>
      </c>
      <c r="G146" s="72" t="s">
        <v>61</v>
      </c>
      <c r="H146" s="68" t="s">
        <v>62</v>
      </c>
      <c r="I146" s="22">
        <f>_xlfn.IFNA(VLOOKUP(A146,[2]库存AMZ!A:CH,8,0),"0")</f>
        <v>29</v>
      </c>
      <c r="J146" s="23" t="str">
        <f>_xlfn.IFNA(IF(I146=0,"-",IF(VLOOKUP(A146,[2]库存AMZ!A:CH,14,0)&gt;0,"≥1 Year",IF(VLOOKUP(A146,[2]库存AMZ!A:CH,13,0)&gt;0,"≥9 Months",IF(VLOOKUP(A146,[2]库存AMZ!A:CH,12,0)&gt;0,"≥6 Months",IF(VLOOKUP(A146,[2]库存AMZ!A:CH,11,0)&gt;0,"≥3 Months","正常"))))),"-")</f>
        <v>正常</v>
      </c>
      <c r="K146" s="73">
        <v>18</v>
      </c>
      <c r="L146" s="10">
        <f>_xlfn.IFNA(VLOOKUP(A146,[2]库存AMZ!A:CH,59,0),"")</f>
        <v>0</v>
      </c>
    </row>
    <row r="147" customFormat="1" ht="21.6" spans="1:12">
      <c r="A147" s="67" t="s">
        <v>303</v>
      </c>
      <c r="B147" s="68" t="s">
        <v>304</v>
      </c>
      <c r="C147" s="69" t="s">
        <v>286</v>
      </c>
      <c r="D147" s="70">
        <v>1300100234</v>
      </c>
      <c r="E147" s="71" t="s">
        <v>144</v>
      </c>
      <c r="F147" s="72" t="s">
        <v>60</v>
      </c>
      <c r="G147" s="72" t="s">
        <v>64</v>
      </c>
      <c r="H147" s="68" t="s">
        <v>62</v>
      </c>
      <c r="I147" s="22">
        <f>_xlfn.IFNA(VLOOKUP(A147,[2]库存AMZ!A:CH,8,0),"0")</f>
        <v>2</v>
      </c>
      <c r="J147" s="23" t="str">
        <f>_xlfn.IFNA(IF(I147=0,"-",IF(VLOOKUP(A147,[2]库存AMZ!A:CH,14,0)&gt;0,"≥1 Year",IF(VLOOKUP(A147,[2]库存AMZ!A:CH,13,0)&gt;0,"≥9 Months",IF(VLOOKUP(A147,[2]库存AMZ!A:CH,12,0)&gt;0,"≥6 Months",IF(VLOOKUP(A147,[2]库存AMZ!A:CH,11,0)&gt;0,"≥3 Months","正常"))))),"-")</f>
        <v>正常</v>
      </c>
      <c r="K147" s="73">
        <v>10</v>
      </c>
      <c r="L147" s="10">
        <f>_xlfn.IFNA(VLOOKUP(A147,[2]库存AMZ!A:CH,59,0),"")</f>
        <v>0</v>
      </c>
    </row>
    <row r="148" customFormat="1" ht="15.6" spans="1:12">
      <c r="A148" s="67" t="s">
        <v>305</v>
      </c>
      <c r="B148" s="68" t="s">
        <v>306</v>
      </c>
      <c r="C148" s="69" t="s">
        <v>286</v>
      </c>
      <c r="D148" s="69">
        <v>1300100229</v>
      </c>
      <c r="E148" s="71" t="s">
        <v>45</v>
      </c>
      <c r="F148" s="72" t="str">
        <f>VLOOKUP(D148,[2]SKU!A:AK,8,0)</f>
        <v>三维扫描仪-JMM3</v>
      </c>
      <c r="G148" s="72" t="s">
        <v>46</v>
      </c>
      <c r="H148" s="68" t="s">
        <v>51</v>
      </c>
      <c r="I148" s="22">
        <f>_xlfn.IFNA(VLOOKUP(A148,[2]库存AMZ!A:CH,8,0),"0")</f>
        <v>7</v>
      </c>
      <c r="J148" s="23" t="str">
        <f>_xlfn.IFNA(IF(I148=0,"-",IF(VLOOKUP(A148,[2]库存AMZ!A:CH,14,0)&gt;0,"≥1 Year",IF(VLOOKUP(A148,[2]库存AMZ!A:CH,13,0)&gt;0,"≥9 Months",IF(VLOOKUP(A148,[2]库存AMZ!A:CH,12,0)&gt;0,"≥6 Months",IF(VLOOKUP(A148,[2]库存AMZ!A:CH,11,0)&gt;0,"≥3 Months","正常"))))),"-")</f>
        <v>正常</v>
      </c>
      <c r="K148" s="24">
        <f>_xlfn.IFNA(VLOOKUP(A148,[2]库存AMZ!A:CN,56,0),"")</f>
        <v>0</v>
      </c>
      <c r="L148" s="10">
        <f>_xlfn.IFNA(VLOOKUP(A148,[2]库存AMZ!A:CH,59,0),"")</f>
        <v>0</v>
      </c>
    </row>
    <row r="149" customFormat="1" ht="15.6" spans="1:12">
      <c r="A149" s="67" t="s">
        <v>307</v>
      </c>
      <c r="B149" s="68" t="s">
        <v>308</v>
      </c>
      <c r="C149" s="69" t="s">
        <v>286</v>
      </c>
      <c r="D149" s="69">
        <v>1300100230</v>
      </c>
      <c r="E149" s="71" t="s">
        <v>48</v>
      </c>
      <c r="F149" s="72" t="str">
        <f>VLOOKUP(D149,[2]SKU!A:AK,8,0)</f>
        <v>三维扫描仪-JMM3</v>
      </c>
      <c r="G149" s="72" t="s">
        <v>50</v>
      </c>
      <c r="H149" s="68" t="s">
        <v>51</v>
      </c>
      <c r="I149" s="22">
        <f>_xlfn.IFNA(VLOOKUP(A149,[2]库存AMZ!A:CH,8,0),"0")</f>
        <v>22</v>
      </c>
      <c r="J149" s="23" t="str">
        <f>_xlfn.IFNA(IF(I149=0,"-",IF(VLOOKUP(A149,[2]库存AMZ!A:CH,14,0)&gt;0,"≥1 Year",IF(VLOOKUP(A149,[2]库存AMZ!A:CH,13,0)&gt;0,"≥9 Months",IF(VLOOKUP(A149,[2]库存AMZ!A:CH,12,0)&gt;0,"≥6 Months",IF(VLOOKUP(A149,[2]库存AMZ!A:CH,11,0)&gt;0,"≥3 Months","正常"))))),"-")</f>
        <v>正常</v>
      </c>
      <c r="K149" s="24">
        <f>_xlfn.IFNA(VLOOKUP(A149,[2]库存AMZ!A:CN,56,0),"")</f>
        <v>0</v>
      </c>
      <c r="L149" s="10">
        <f>_xlfn.IFNA(VLOOKUP(A149,[2]库存AMZ!A:CH,59,0),"")</f>
        <v>0</v>
      </c>
    </row>
    <row r="150" customFormat="1" ht="15.6" spans="1:12">
      <c r="A150" s="67" t="s">
        <v>309</v>
      </c>
      <c r="B150" s="68" t="s">
        <v>310</v>
      </c>
      <c r="C150" s="69" t="s">
        <v>286</v>
      </c>
      <c r="D150" s="70">
        <v>1300100190</v>
      </c>
      <c r="E150" s="71" t="s">
        <v>311</v>
      </c>
      <c r="F150" s="72" t="str">
        <f>VLOOKUP(D150,[2]SKU!A:AK,8,0)</f>
        <v>三维扫描仪-JMM3</v>
      </c>
      <c r="G150" s="72" t="s">
        <v>54</v>
      </c>
      <c r="H150" s="68" t="s">
        <v>51</v>
      </c>
      <c r="I150" s="22">
        <f>_xlfn.IFNA(VLOOKUP(A150,[2]库存AMZ!A:CH,8,0),"0")</f>
        <v>7</v>
      </c>
      <c r="J150" s="23" t="str">
        <f>_xlfn.IFNA(IF(I150=0,"-",IF(VLOOKUP(A150,[2]库存AMZ!A:CH,14,0)&gt;0,"≥1 Year",IF(VLOOKUP(A150,[2]库存AMZ!A:CH,13,0)&gt;0,"≥9 Months",IF(VLOOKUP(A150,[2]库存AMZ!A:CH,12,0)&gt;0,"≥6 Months",IF(VLOOKUP(A150,[2]库存AMZ!A:CH,11,0)&gt;0,"≥3 Months","正常"))))),"-")</f>
        <v>正常</v>
      </c>
      <c r="K150" s="24">
        <f>_xlfn.IFNA(VLOOKUP(A150,[2]库存AMZ!A:CN,56,0),"")</f>
        <v>0</v>
      </c>
      <c r="L150" s="10">
        <f>_xlfn.IFNA(VLOOKUP(A150,[2]库存AMZ!A:CH,59,0),"")</f>
        <v>0</v>
      </c>
    </row>
    <row r="151" customFormat="1" ht="15.6" spans="1:12">
      <c r="A151" s="67" t="s">
        <v>312</v>
      </c>
      <c r="B151" s="68" t="s">
        <v>313</v>
      </c>
      <c r="C151" s="69" t="s">
        <v>286</v>
      </c>
      <c r="D151" s="69">
        <v>1300100087</v>
      </c>
      <c r="E151" s="71" t="s">
        <v>314</v>
      </c>
      <c r="F151" s="72" t="s">
        <v>20</v>
      </c>
      <c r="G151" s="72" t="s">
        <v>21</v>
      </c>
      <c r="H151" s="68" t="s">
        <v>315</v>
      </c>
      <c r="I151" s="22">
        <f>_xlfn.IFNA(VLOOKUP(A151,[2]库存AMZ!A:CH,8,0),"0")</f>
        <v>21</v>
      </c>
      <c r="J151" s="23" t="str">
        <f>_xlfn.IFNA(IF(I151=0,"-",IF(VLOOKUP(A151,[2]库存AMZ!A:CH,14,0)&gt;0,"≥1 Year",IF(VLOOKUP(A151,[2]库存AMZ!A:CH,13,0)&gt;0,"≥9 Months",IF(VLOOKUP(A151,[2]库存AMZ!A:CH,12,0)&gt;0,"≥6 Months",IF(VLOOKUP(A151,[2]库存AMZ!A:CH,11,0)&gt;0,"≥3 Months","正常"))))),"-")</f>
        <v>正常</v>
      </c>
      <c r="K151" s="47">
        <v>32</v>
      </c>
      <c r="L151" s="10">
        <f>_xlfn.IFNA(VLOOKUP(A151,[2]库存AMZ!A:CH,59,0),"")</f>
        <v>0</v>
      </c>
    </row>
    <row r="152" customFormat="1" ht="15.6" spans="1:12">
      <c r="A152" s="67" t="s">
        <v>316</v>
      </c>
      <c r="B152" s="68" t="s">
        <v>317</v>
      </c>
      <c r="C152" s="69" t="s">
        <v>286</v>
      </c>
      <c r="D152" s="69">
        <v>1300100220</v>
      </c>
      <c r="E152" s="71" t="s">
        <v>187</v>
      </c>
      <c r="F152" s="72" t="s">
        <v>20</v>
      </c>
      <c r="G152" s="72" t="s">
        <v>188</v>
      </c>
      <c r="H152" s="68" t="s">
        <v>315</v>
      </c>
      <c r="I152" s="22">
        <f>_xlfn.IFNA(VLOOKUP(A152,[2]库存AMZ!A:CH,8,0),"0")</f>
        <v>1</v>
      </c>
      <c r="J152" s="23" t="str">
        <f>_xlfn.IFNA(IF(I152=0,"-",IF(VLOOKUP(A152,[2]库存AMZ!A:CH,14,0)&gt;0,"≥1 Year",IF(VLOOKUP(A152,[2]库存AMZ!A:CH,13,0)&gt;0,"≥9 Months",IF(VLOOKUP(A152,[2]库存AMZ!A:CH,12,0)&gt;0,"≥6 Months",IF(VLOOKUP(A152,[2]库存AMZ!A:CH,11,0)&gt;0,"≥3 Months","正常"))))),"-")</f>
        <v>正常</v>
      </c>
      <c r="K152" s="47">
        <v>18</v>
      </c>
      <c r="L152" s="10">
        <f>_xlfn.IFNA(VLOOKUP(A152,[2]库存AMZ!A:CH,59,0),"")</f>
        <v>0</v>
      </c>
    </row>
    <row r="153" customFormat="1" ht="15.6" spans="1:12">
      <c r="A153" s="67" t="s">
        <v>318</v>
      </c>
      <c r="B153" s="68" t="s">
        <v>319</v>
      </c>
      <c r="C153" s="69" t="s">
        <v>286</v>
      </c>
      <c r="D153" s="69">
        <v>1300100222</v>
      </c>
      <c r="E153" s="71" t="s">
        <v>23</v>
      </c>
      <c r="F153" s="72" t="s">
        <v>24</v>
      </c>
      <c r="G153" s="72" t="s">
        <v>25</v>
      </c>
      <c r="H153" s="68" t="s">
        <v>225</v>
      </c>
      <c r="I153" s="22">
        <f>_xlfn.IFNA(VLOOKUP(A153,[2]库存AMZ!A:CH,8,0),"0")</f>
        <v>0</v>
      </c>
      <c r="J153" s="23" t="str">
        <f>_xlfn.IFNA(IF(I153=0,"-",IF(VLOOKUP(A153,[2]库存AMZ!A:CH,14,0)&gt;0,"≥1 Year",IF(VLOOKUP(A153,[2]库存AMZ!A:CH,13,0)&gt;0,"≥9 Months",IF(VLOOKUP(A153,[2]库存AMZ!A:CH,12,0)&gt;0,"≥6 Months",IF(VLOOKUP(A153,[2]库存AMZ!A:CH,11,0)&gt;0,"≥3 Months","正常"))))),"-")</f>
        <v>-</v>
      </c>
      <c r="K153" s="73">
        <v>32</v>
      </c>
      <c r="L153" s="10">
        <f>_xlfn.IFNA(VLOOKUP(A153,[2]库存AMZ!A:CH,59,0),"")</f>
        <v>0</v>
      </c>
    </row>
    <row r="154" customFormat="1" ht="21.6" spans="1:12">
      <c r="A154" s="67" t="s">
        <v>320</v>
      </c>
      <c r="B154" s="68" t="s">
        <v>321</v>
      </c>
      <c r="C154" s="69" t="s">
        <v>286</v>
      </c>
      <c r="D154" s="69">
        <v>1300100223</v>
      </c>
      <c r="E154" s="71" t="s">
        <v>179</v>
      </c>
      <c r="F154" s="72" t="s">
        <v>24</v>
      </c>
      <c r="G154" s="72" t="s">
        <v>180</v>
      </c>
      <c r="H154" s="68" t="s">
        <v>225</v>
      </c>
      <c r="I154" s="22">
        <f>_xlfn.IFNA(VLOOKUP(A154,[2]库存AMZ!A:CH,8,0),"0")</f>
        <v>1</v>
      </c>
      <c r="J154" s="23" t="str">
        <f>_xlfn.IFNA(IF(I154=0,"-",IF(VLOOKUP(A154,[2]库存AMZ!A:CH,14,0)&gt;0,"≥1 Year",IF(VLOOKUP(A154,[2]库存AMZ!A:CH,13,0)&gt;0,"≥9 Months",IF(VLOOKUP(A154,[2]库存AMZ!A:CH,12,0)&gt;0,"≥6 Months",IF(VLOOKUP(A154,[2]库存AMZ!A:CH,11,0)&gt;0,"≥3 Months","正常"))))),"-")</f>
        <v>正常</v>
      </c>
      <c r="K154" s="73">
        <v>24</v>
      </c>
      <c r="L154" s="10">
        <f>_xlfn.IFNA(VLOOKUP(A154,[2]库存AMZ!A:CH,59,0),"")</f>
        <v>0</v>
      </c>
    </row>
    <row r="155" customFormat="1" ht="15.6" spans="1:12">
      <c r="A155" s="67" t="s">
        <v>322</v>
      </c>
      <c r="B155" s="68" t="s">
        <v>323</v>
      </c>
      <c r="C155" s="69" t="s">
        <v>286</v>
      </c>
      <c r="D155" s="69">
        <v>1300100118</v>
      </c>
      <c r="E155" s="71" t="s">
        <v>273</v>
      </c>
      <c r="F155" s="72" t="s">
        <v>28</v>
      </c>
      <c r="G155" s="72" t="s">
        <v>29</v>
      </c>
      <c r="H155" s="68" t="s">
        <v>15</v>
      </c>
      <c r="I155" s="22">
        <f>_xlfn.IFNA(VLOOKUP(A155,[2]库存AMZ!A:CH,8,0),"0")</f>
        <v>17</v>
      </c>
      <c r="J155" s="23" t="str">
        <f>_xlfn.IFNA(IF(I155=0,"-",IF(VLOOKUP(A155,[2]库存AMZ!A:CH,14,0)&gt;0,"≥1 Year",IF(VLOOKUP(A155,[2]库存AMZ!A:CH,13,0)&gt;0,"≥9 Months",IF(VLOOKUP(A155,[2]库存AMZ!A:CH,12,0)&gt;0,"≥6 Months",IF(VLOOKUP(A155,[2]库存AMZ!A:CH,11,0)&gt;0,"≥3 Months","正常"))))),"-")</f>
        <v>≥3 Months</v>
      </c>
      <c r="K155" s="73">
        <v>96</v>
      </c>
      <c r="L155" s="10">
        <f>_xlfn.IFNA(VLOOKUP(A155,[2]库存AMZ!A:CH,59,0),"")</f>
        <v>0</v>
      </c>
    </row>
    <row r="156" customFormat="1" ht="15.6" spans="1:12">
      <c r="A156" s="67" t="s">
        <v>324</v>
      </c>
      <c r="B156" s="68" t="s">
        <v>325</v>
      </c>
      <c r="C156" s="69" t="s">
        <v>286</v>
      </c>
      <c r="D156" s="69">
        <v>1200100064</v>
      </c>
      <c r="E156" s="71" t="s">
        <v>214</v>
      </c>
      <c r="F156" s="72" t="s">
        <v>28</v>
      </c>
      <c r="G156" s="72" t="s">
        <v>32</v>
      </c>
      <c r="H156" s="68" t="s">
        <v>15</v>
      </c>
      <c r="I156" s="22">
        <f>_xlfn.IFNA(VLOOKUP(A156,[2]库存AMZ!A:CH,8,0),"0")</f>
        <v>0</v>
      </c>
      <c r="J156" s="23" t="str">
        <f>_xlfn.IFNA(IF(I156=0,"-",IF(VLOOKUP(A156,[2]库存AMZ!A:CH,14,0)&gt;0,"≥1 Year",IF(VLOOKUP(A156,[2]库存AMZ!A:CH,13,0)&gt;0,"≥9 Months",IF(VLOOKUP(A156,[2]库存AMZ!A:CH,12,0)&gt;0,"≥6 Months",IF(VLOOKUP(A156,[2]库存AMZ!A:CH,11,0)&gt;0,"≥3 Months","正常"))))),"-")</f>
        <v>-</v>
      </c>
      <c r="K156" s="73">
        <v>99</v>
      </c>
      <c r="L156" s="10">
        <f>_xlfn.IFNA(VLOOKUP(A156,[2]库存AMZ!A:CH,59,0),"")</f>
        <v>0</v>
      </c>
    </row>
    <row r="157" customFormat="1" ht="15.6" spans="1:12">
      <c r="A157" s="67" t="s">
        <v>326</v>
      </c>
      <c r="B157" s="68" t="s">
        <v>327</v>
      </c>
      <c r="C157" s="69" t="s">
        <v>286</v>
      </c>
      <c r="D157" s="69">
        <v>1300100082</v>
      </c>
      <c r="E157" s="71" t="str">
        <f>VLOOKUP(D157,[2]SKU!A:AK,2,0)</f>
        <v>三维扫描仪智能手柄</v>
      </c>
      <c r="F157" s="72" t="str">
        <f>VLOOKUP(D157,[2]SKU!A:AK,8,0)</f>
        <v>三维扫描仪备品备件</v>
      </c>
      <c r="G157" s="72" t="s">
        <v>35</v>
      </c>
      <c r="H157" s="68" t="str">
        <f>VLOOKUP(D157,[2]SKU!A:AK,26,0)</f>
        <v>JMB1</v>
      </c>
      <c r="I157" s="22" t="str">
        <f>_xlfn.IFNA(VLOOKUP(A157,[2]库存AMZ!A:CH,8,0),"0")</f>
        <v>0</v>
      </c>
      <c r="J157" s="23" t="str">
        <f>_xlfn.IFNA(IF(I157=0,"-",IF(VLOOKUP(A157,[2]库存AMZ!A:CH,14,0)&gt;0,"≥1 Year",IF(VLOOKUP(A157,[2]库存AMZ!A:CH,13,0)&gt;0,"≥9 Months",IF(VLOOKUP(A157,[2]库存AMZ!A:CH,12,0)&gt;0,"≥6 Months",IF(VLOOKUP(A157,[2]库存AMZ!A:CH,11,0)&gt;0,"≥3 Months","正常"))))),"-")</f>
        <v>-</v>
      </c>
      <c r="K157" s="73">
        <v>24</v>
      </c>
      <c r="L157" s="10" t="str">
        <f>_xlfn.IFNA(VLOOKUP(A157,[2]库存AMZ!A:CH,59,0),"")</f>
        <v/>
      </c>
    </row>
    <row r="158" customFormat="1" ht="15.6" spans="1:12">
      <c r="A158" s="67" t="s">
        <v>328</v>
      </c>
      <c r="B158" s="68" t="s">
        <v>329</v>
      </c>
      <c r="C158" s="69" t="s">
        <v>286</v>
      </c>
      <c r="D158" s="69">
        <v>1021900174</v>
      </c>
      <c r="E158" s="71" t="s">
        <v>270</v>
      </c>
      <c r="F158" s="72" t="str">
        <f>VLOOKUP(D158,[2]SKU!A:AK,8,0)</f>
        <v>三维扫描仪备品备件</v>
      </c>
      <c r="G158" s="72" t="s">
        <v>15</v>
      </c>
      <c r="H158" s="68" t="s">
        <v>15</v>
      </c>
      <c r="I158" s="22">
        <f>_xlfn.IFNA(VLOOKUP(A158,[2]库存AMZ!A:CH,8,0),"0")</f>
        <v>11</v>
      </c>
      <c r="J158" s="23" t="str">
        <f>_xlfn.IFNA(IF(I158=0,"-",IF(VLOOKUP(A158,[2]库存AMZ!A:CH,14,0)&gt;0,"≥1 Year",IF(VLOOKUP(A158,[2]库存AMZ!A:CH,13,0)&gt;0,"≥9 Months",IF(VLOOKUP(A158,[2]库存AMZ!A:CH,12,0)&gt;0,"≥6 Months",IF(VLOOKUP(A158,[2]库存AMZ!A:CH,11,0)&gt;0,"≥3 Months","正常"))))),"-")</f>
        <v>≥6 Months</v>
      </c>
      <c r="K158" s="24">
        <f>_xlfn.IFNA(VLOOKUP(A158,[2]库存AMZ!A:CN,56,0),"")</f>
        <v>0</v>
      </c>
      <c r="L158" s="10">
        <f>_xlfn.IFNA(VLOOKUP(A158,[2]库存AMZ!A:CH,59,0),"")</f>
        <v>0</v>
      </c>
    </row>
    <row r="159" customFormat="1" ht="15.6" spans="1:12">
      <c r="A159" s="67" t="s">
        <v>330</v>
      </c>
      <c r="B159" s="68" t="s">
        <v>331</v>
      </c>
      <c r="C159" s="69" t="s">
        <v>286</v>
      </c>
      <c r="D159" s="69">
        <v>1060400009</v>
      </c>
      <c r="E159" s="71" t="s">
        <v>217</v>
      </c>
      <c r="F159" s="72" t="s">
        <v>28</v>
      </c>
      <c r="G159" s="72" t="s">
        <v>15</v>
      </c>
      <c r="H159" s="68" t="s">
        <v>15</v>
      </c>
      <c r="I159" s="22">
        <f>_xlfn.IFNA(VLOOKUP(A159,[2]库存AMZ!A:CH,8,0),"0")</f>
        <v>2</v>
      </c>
      <c r="J159" s="23" t="str">
        <f>_xlfn.IFNA(IF(I159=0,"-",IF(VLOOKUP(A159,[2]库存AMZ!A:CH,14,0)&gt;0,"≥1 Year",IF(VLOOKUP(A159,[2]库存AMZ!A:CH,13,0)&gt;0,"≥9 Months",IF(VLOOKUP(A159,[2]库存AMZ!A:CH,12,0)&gt;0,"≥6 Months",IF(VLOOKUP(A159,[2]库存AMZ!A:CH,11,0)&gt;0,"≥3 Months","正常"))))),"-")</f>
        <v>正常</v>
      </c>
      <c r="K159" s="24">
        <f>_xlfn.IFNA(VLOOKUP(A159,[2]库存AMZ!A:CN,56,0),"")</f>
        <v>0</v>
      </c>
      <c r="L159" s="10">
        <f>_xlfn.IFNA(VLOOKUP(A159,[2]库存AMZ!A:CH,59,0),"")</f>
        <v>0</v>
      </c>
    </row>
    <row r="160" customFormat="1" ht="15.6" spans="1:12">
      <c r="A160" s="67" t="s">
        <v>332</v>
      </c>
      <c r="B160" s="68" t="s">
        <v>333</v>
      </c>
      <c r="C160" s="69" t="s">
        <v>286</v>
      </c>
      <c r="D160" s="69">
        <v>1300100211</v>
      </c>
      <c r="E160" s="71" t="s">
        <v>334</v>
      </c>
      <c r="F160" s="72" t="s">
        <v>335</v>
      </c>
      <c r="G160" s="72" t="s">
        <v>15</v>
      </c>
      <c r="H160" s="68" t="s">
        <v>336</v>
      </c>
      <c r="I160" s="22" t="str">
        <f>_xlfn.IFNA(VLOOKUP(A160,[2]库存AMZ!A:CH,8,0),"0")</f>
        <v>0</v>
      </c>
      <c r="J160" s="23" t="str">
        <f>_xlfn.IFNA(IF(I160=0,"-",IF(VLOOKUP(A160,[2]库存AMZ!A:CH,14,0)&gt;0,"≥1 Year",IF(VLOOKUP(A160,[2]库存AMZ!A:CH,13,0)&gt;0,"≥9 Months",IF(VLOOKUP(A160,[2]库存AMZ!A:CH,12,0)&gt;0,"≥6 Months",IF(VLOOKUP(A160,[2]库存AMZ!A:CH,11,0)&gt;0,"≥3 Months","正常"))))),"-")</f>
        <v>-</v>
      </c>
      <c r="K160" s="24" t="str">
        <f>_xlfn.IFNA(VLOOKUP(A160,[2]库存AMZ!A:CN,56,0),"")</f>
        <v/>
      </c>
      <c r="L160" s="10" t="str">
        <f>_xlfn.IFNA(VLOOKUP(A160,[2]库存AMZ!A:CH,59,0),"")</f>
        <v/>
      </c>
    </row>
    <row r="161" customFormat="1" ht="15.6" spans="1:12">
      <c r="A161" s="67" t="s">
        <v>337</v>
      </c>
      <c r="B161" s="68" t="s">
        <v>338</v>
      </c>
      <c r="C161" s="69" t="s">
        <v>286</v>
      </c>
      <c r="D161" s="69">
        <v>1300100212</v>
      </c>
      <c r="E161" s="71" t="s">
        <v>339</v>
      </c>
      <c r="F161" s="72" t="s">
        <v>340</v>
      </c>
      <c r="G161" s="72" t="s">
        <v>15</v>
      </c>
      <c r="H161" s="68" t="s">
        <v>341</v>
      </c>
      <c r="I161" s="22">
        <f>_xlfn.IFNA(VLOOKUP(A161,[2]库存AMZ!A:CH,8,0),"0")</f>
        <v>0</v>
      </c>
      <c r="J161" s="23" t="str">
        <f>_xlfn.IFNA(IF(I161=0,"-",IF(VLOOKUP(A161,[2]库存AMZ!A:CH,14,0)&gt;0,"≥1 Year",IF(VLOOKUP(A161,[2]库存AMZ!A:CH,13,0)&gt;0,"≥9 Months",IF(VLOOKUP(A161,[2]库存AMZ!A:CH,12,0)&gt;0,"≥6 Months",IF(VLOOKUP(A161,[2]库存AMZ!A:CH,11,0)&gt;0,"≥3 Months","正常"))))),"-")</f>
        <v>-</v>
      </c>
      <c r="K161" s="24">
        <f>_xlfn.IFNA(VLOOKUP(A161,[2]库存AMZ!A:CN,56,0),"")</f>
        <v>0</v>
      </c>
      <c r="L161" s="10">
        <f>_xlfn.IFNA(VLOOKUP(A161,[2]库存AMZ!A:CH,59,0),"")</f>
        <v>0</v>
      </c>
    </row>
    <row r="162" customFormat="1" ht="15.6" spans="1:12">
      <c r="A162" s="67" t="s">
        <v>342</v>
      </c>
      <c r="B162" s="68" t="s">
        <v>343</v>
      </c>
      <c r="C162" s="69" t="s">
        <v>286</v>
      </c>
      <c r="D162" s="69">
        <v>1300100246</v>
      </c>
      <c r="E162" s="71" t="s">
        <v>79</v>
      </c>
      <c r="F162" s="72" t="s">
        <v>80</v>
      </c>
      <c r="G162" s="72" t="s">
        <v>81</v>
      </c>
      <c r="H162" s="68" t="s">
        <v>82</v>
      </c>
      <c r="I162" s="22">
        <f>_xlfn.IFNA(VLOOKUP(A162,[2]库存AMZ!A:CH,8,0),"0")</f>
        <v>21</v>
      </c>
      <c r="J162" s="23" t="str">
        <f>_xlfn.IFNA(IF(I162=0,"-",IF(VLOOKUP(A162,[2]库存AMZ!A:CH,14,0)&gt;0,"≥1 Year",IF(VLOOKUP(A162,[2]库存AMZ!A:CH,13,0)&gt;0,"≥9 Months",IF(VLOOKUP(A162,[2]库存AMZ!A:CH,12,0)&gt;0,"≥6 Months",IF(VLOOKUP(A162,[2]库存AMZ!A:CH,11,0)&gt;0,"≥3 Months","正常"))))),"-")</f>
        <v>≥3 Months</v>
      </c>
      <c r="K162" s="24">
        <f>_xlfn.IFNA(VLOOKUP(A162,[2]库存AMZ!A:CN,56,0),"")</f>
        <v>0</v>
      </c>
      <c r="L162" s="10">
        <f>_xlfn.IFNA(VLOOKUP(A162,[2]库存AMZ!A:CH,59,0),"")</f>
        <v>0</v>
      </c>
    </row>
    <row r="163" customFormat="1" ht="15.6" spans="1:12">
      <c r="A163" s="67" t="s">
        <v>344</v>
      </c>
      <c r="B163" s="68" t="s">
        <v>345</v>
      </c>
      <c r="C163" s="69" t="s">
        <v>286</v>
      </c>
      <c r="D163" s="69">
        <v>1300100240</v>
      </c>
      <c r="E163" s="71" t="s">
        <v>84</v>
      </c>
      <c r="F163" s="72" t="s">
        <v>80</v>
      </c>
      <c r="G163" s="72" t="s">
        <v>85</v>
      </c>
      <c r="H163" s="68" t="s">
        <v>82</v>
      </c>
      <c r="I163" s="22">
        <f>_xlfn.IFNA(VLOOKUP(A163,[2]库存AMZ!A:CH,8,0),"0")</f>
        <v>15</v>
      </c>
      <c r="J163" s="23" t="str">
        <f>_xlfn.IFNA(IF(I163=0,"-",IF(VLOOKUP(A163,[2]库存AMZ!A:CH,14,0)&gt;0,"≥1 Year",IF(VLOOKUP(A163,[2]库存AMZ!A:CH,13,0)&gt;0,"≥9 Months",IF(VLOOKUP(A163,[2]库存AMZ!A:CH,12,0)&gt;0,"≥6 Months",IF(VLOOKUP(A163,[2]库存AMZ!A:CH,11,0)&gt;0,"≥3 Months","正常"))))),"-")</f>
        <v>≥3 Months</v>
      </c>
      <c r="K163" s="24">
        <f>_xlfn.IFNA(VLOOKUP(A163,[2]库存AMZ!A:CN,56,0),"")</f>
        <v>0</v>
      </c>
      <c r="L163" s="10">
        <f>_xlfn.IFNA(VLOOKUP(A163,[2]库存AMZ!A:CH,59,0),"")</f>
        <v>0</v>
      </c>
    </row>
    <row r="164" customFormat="1" ht="15.6" spans="1:12">
      <c r="A164" s="67" t="s">
        <v>346</v>
      </c>
      <c r="B164" s="68"/>
      <c r="C164" s="69" t="s">
        <v>286</v>
      </c>
      <c r="D164" s="69">
        <v>1300100263</v>
      </c>
      <c r="E164" s="71" t="s">
        <v>109</v>
      </c>
      <c r="F164" s="72" t="s">
        <v>110</v>
      </c>
      <c r="G164" s="72" t="s">
        <v>111</v>
      </c>
      <c r="H164" s="68" t="s">
        <v>111</v>
      </c>
      <c r="I164" s="22" t="str">
        <f>_xlfn.IFNA(VLOOKUP(A164,[2]库存AMZ!A:CH,8,0),"0")</f>
        <v>0</v>
      </c>
      <c r="J164" s="23" t="str">
        <f>_xlfn.IFNA(IF(I164=0,"-",IF(VLOOKUP(A164,[2]库存AMZ!A:CH,14,0)&gt;0,"≥1 Year",IF(VLOOKUP(A164,[2]库存AMZ!A:CH,13,0)&gt;0,"≥9 Months",IF(VLOOKUP(A164,[2]库存AMZ!A:CH,12,0)&gt;0,"≥6 Months",IF(VLOOKUP(A164,[2]库存AMZ!A:CH,11,0)&gt;0,"≥3 Months","正常"))))),"-")</f>
        <v>-</v>
      </c>
      <c r="K164" s="73">
        <v>7</v>
      </c>
      <c r="L164" s="10" t="str">
        <f>_xlfn.IFNA(VLOOKUP(A164,[2]库存AMZ!A:CH,59,0),"")</f>
        <v/>
      </c>
    </row>
    <row r="165" customFormat="1" ht="15.6" spans="1:12">
      <c r="A165" s="67" t="s">
        <v>347</v>
      </c>
      <c r="B165" s="68"/>
      <c r="C165" s="69" t="s">
        <v>286</v>
      </c>
      <c r="D165" s="69">
        <v>1300100256</v>
      </c>
      <c r="E165" s="71" t="s">
        <v>105</v>
      </c>
      <c r="F165" s="72" t="s">
        <v>100</v>
      </c>
      <c r="G165" s="72" t="s">
        <v>106</v>
      </c>
      <c r="H165" s="68" t="s">
        <v>102</v>
      </c>
      <c r="I165" s="22" t="str">
        <f>_xlfn.IFNA(VLOOKUP(A165,[2]库存AMZ!A:CH,8,0),"0")</f>
        <v>0</v>
      </c>
      <c r="J165" s="23" t="str">
        <f>_xlfn.IFNA(IF(I165=0,"-",IF(VLOOKUP(A165,[2]库存AMZ!A:CH,14,0)&gt;0,"≥1 Year",IF(VLOOKUP(A165,[2]库存AMZ!A:CH,13,0)&gt;0,"≥9 Months",IF(VLOOKUP(A165,[2]库存AMZ!A:CH,12,0)&gt;0,"≥6 Months",IF(VLOOKUP(A165,[2]库存AMZ!A:CH,11,0)&gt;0,"≥3 Months","正常"))))),"-")</f>
        <v>-</v>
      </c>
      <c r="K165" s="73">
        <v>7</v>
      </c>
      <c r="L165" s="10" t="str">
        <f>_xlfn.IFNA(VLOOKUP(A165,[2]库存AMZ!A:CH,59,0),"")</f>
        <v/>
      </c>
    </row>
    <row r="166" customFormat="1" ht="15.6" spans="1:12">
      <c r="A166" s="67" t="s">
        <v>348</v>
      </c>
      <c r="B166" s="68"/>
      <c r="C166" s="69" t="s">
        <v>286</v>
      </c>
      <c r="D166" s="69">
        <v>1300100260</v>
      </c>
      <c r="E166" s="71" t="s">
        <v>114</v>
      </c>
      <c r="F166" s="72" t="s">
        <v>115</v>
      </c>
      <c r="G166" s="72" t="s">
        <v>116</v>
      </c>
      <c r="H166" s="68" t="s">
        <v>117</v>
      </c>
      <c r="I166" s="22" t="str">
        <f>_xlfn.IFNA(VLOOKUP(A166,[2]库存AMZ!A:CH,8,0),"0")</f>
        <v>0</v>
      </c>
      <c r="J166" s="23" t="str">
        <f>_xlfn.IFNA(IF(I166=0,"-",IF(VLOOKUP(A166,[2]库存AMZ!A:CH,14,0)&gt;0,"≥1 Year",IF(VLOOKUP(A166,[2]库存AMZ!A:CH,13,0)&gt;0,"≥9 Months",IF(VLOOKUP(A166,[2]库存AMZ!A:CH,12,0)&gt;0,"≥6 Months",IF(VLOOKUP(A166,[2]库存AMZ!A:CH,11,0)&gt;0,"≥3 Months","正常"))))),"-")</f>
        <v>-</v>
      </c>
      <c r="K166" s="47">
        <v>130</v>
      </c>
      <c r="L166" s="10" t="str">
        <f>_xlfn.IFNA(VLOOKUP(A166,[2]库存AMZ!A:CH,59,0),"")</f>
        <v/>
      </c>
    </row>
    <row r="167" customFormat="1" ht="15.6" spans="1:12">
      <c r="A167" s="67" t="s">
        <v>349</v>
      </c>
      <c r="B167" s="68"/>
      <c r="C167" s="69" t="s">
        <v>286</v>
      </c>
      <c r="D167" s="69">
        <v>1300100253</v>
      </c>
      <c r="E167" s="71" t="s">
        <v>350</v>
      </c>
      <c r="F167" s="72" t="s">
        <v>28</v>
      </c>
      <c r="G167" s="72" t="s">
        <v>15</v>
      </c>
      <c r="H167" s="68" t="s">
        <v>15</v>
      </c>
      <c r="I167" s="22" t="str">
        <f>_xlfn.IFNA(VLOOKUP(A167,[2]库存AMZ!A:CH,8,0),"0")</f>
        <v>0</v>
      </c>
      <c r="J167" s="23" t="str">
        <f>_xlfn.IFNA(IF(I167=0,"-",IF(VLOOKUP(A167,[2]库存AMZ!A:CH,14,0)&gt;0,"≥1 Year",IF(VLOOKUP(A167,[2]库存AMZ!A:CH,13,0)&gt;0,"≥9 Months",IF(VLOOKUP(A167,[2]库存AMZ!A:CH,12,0)&gt;0,"≥6 Months",IF(VLOOKUP(A167,[2]库存AMZ!A:CH,11,0)&gt;0,"≥3 Months","正常"))))),"-")</f>
        <v>-</v>
      </c>
      <c r="K167" s="73">
        <v>100</v>
      </c>
      <c r="L167" s="10" t="str">
        <f>_xlfn.IFNA(VLOOKUP(A167,[2]库存AMZ!A:CH,59,0),"")</f>
        <v/>
      </c>
    </row>
    <row r="168" ht="15.6" spans="1:12">
      <c r="A168" s="74" t="s">
        <v>351</v>
      </c>
      <c r="B168" s="75" t="s">
        <v>352</v>
      </c>
      <c r="C168" s="76" t="s">
        <v>353</v>
      </c>
      <c r="D168" s="76">
        <v>1300100038</v>
      </c>
      <c r="E168" s="77" t="str">
        <f>VLOOKUP(D168,[2]SKU!A:AK,2,0)</f>
        <v>三维扫描仪Mole升级款(英文版)</v>
      </c>
      <c r="F168" s="78" t="str">
        <f>VLOOKUP(D168,[2]SKU!A:AK,8,0)</f>
        <v>三维扫描仪-JMM1</v>
      </c>
      <c r="G168" s="78" t="s">
        <v>136</v>
      </c>
      <c r="H168" s="75" t="str">
        <f>VLOOKUP(D168,[2]SKU!A:AK,26,0)</f>
        <v>JMM1</v>
      </c>
      <c r="I168" s="22" t="str">
        <f>_xlfn.IFNA(VLOOKUP(A168,[2]库存AMZ!A:CH,8,0),"0")</f>
        <v>0</v>
      </c>
      <c r="J168" s="23" t="str">
        <f>_xlfn.IFNA(IF(I168=0,"-",IF(VLOOKUP(A168,[2]库存AMZ!A:CH,14,0)&gt;0,"≥1 Year",IF(VLOOKUP(A168,[2]库存AMZ!A:CH,13,0)&gt;0,"≥9 Months",IF(VLOOKUP(A168,[2]库存AMZ!A:CH,12,0)&gt;0,"≥6 Months",IF(VLOOKUP(A168,[2]库存AMZ!A:CH,11,0)&gt;0,"≥3 Months","正常"))))),"-")</f>
        <v>-</v>
      </c>
      <c r="K168" s="24" t="str">
        <f>_xlfn.IFNA(VLOOKUP(A168,[2]库存AMZ!A:CN,56,0),"")</f>
        <v/>
      </c>
      <c r="L168" s="10" t="str">
        <f>_xlfn.IFNA(VLOOKUP(A168,[2]库存AMZ!A:CH,59,0),"")</f>
        <v/>
      </c>
    </row>
    <row r="169" ht="15.6" spans="1:12">
      <c r="A169" s="74" t="s">
        <v>354</v>
      </c>
      <c r="B169" s="75" t="s">
        <v>355</v>
      </c>
      <c r="C169" s="76" t="s">
        <v>353</v>
      </c>
      <c r="D169" s="76">
        <v>1300100111</v>
      </c>
      <c r="E169" s="77" t="s">
        <v>356</v>
      </c>
      <c r="F169" s="78" t="str">
        <f>VLOOKUP(D169,[2]SKU!A:AK,8,0)</f>
        <v>三维扫描仪-JML1</v>
      </c>
      <c r="G169" s="78" t="s">
        <v>123</v>
      </c>
      <c r="H169" s="75" t="str">
        <f>VLOOKUP(D169,[2]SKU!A:AK,26,0)</f>
        <v>JML1</v>
      </c>
      <c r="I169" s="22">
        <f>_xlfn.IFNA(VLOOKUP(A169,[2]库存AMZ!A:CH,8,0),"0")</f>
        <v>2</v>
      </c>
      <c r="J169" s="23" t="str">
        <f>_xlfn.IFNA(IF(I169=0,"-",IF(VLOOKUP(A169,[2]库存AMZ!A:CH,14,0)&gt;0,"≥1 Year",IF(VLOOKUP(A169,[2]库存AMZ!A:CH,13,0)&gt;0,"≥9 Months",IF(VLOOKUP(A169,[2]库存AMZ!A:CH,12,0)&gt;0,"≥6 Months",IF(VLOOKUP(A169,[2]库存AMZ!A:CH,11,0)&gt;0,"≥3 Months","正常"))))),"-")</f>
        <v>≥6 Months</v>
      </c>
      <c r="K169" s="24">
        <f>_xlfn.IFNA(VLOOKUP(A169,[2]库存AMZ!A:CN,56,0),"")</f>
        <v>0</v>
      </c>
      <c r="L169" s="10">
        <f>_xlfn.IFNA(VLOOKUP(A169,[2]库存AMZ!A:CH,59,0),"")</f>
        <v>4</v>
      </c>
    </row>
    <row r="170" ht="15.6" spans="1:12">
      <c r="A170" s="74" t="s">
        <v>357</v>
      </c>
      <c r="B170" s="75" t="s">
        <v>358</v>
      </c>
      <c r="C170" s="76" t="s">
        <v>353</v>
      </c>
      <c r="D170" s="76">
        <v>1300100112</v>
      </c>
      <c r="E170" s="77" t="str">
        <f>VLOOKUP(D170,[2]SKU!A:AK,2,0)</f>
        <v>三维扫描仪Lynx升级款(欧规)</v>
      </c>
      <c r="F170" s="78" t="str">
        <f>VLOOKUP(D170,[2]SKU!A:AK,8,0)</f>
        <v>三维扫描仪-JML1</v>
      </c>
      <c r="G170" s="78" t="s">
        <v>128</v>
      </c>
      <c r="H170" s="75" t="str">
        <f>VLOOKUP(D170,[2]SKU!A:AK,26,0)</f>
        <v>JML1</v>
      </c>
      <c r="I170" s="22" t="str">
        <f>_xlfn.IFNA(VLOOKUP(A170,[2]库存AMZ!A:CH,8,0),"0")</f>
        <v>0</v>
      </c>
      <c r="J170" s="23" t="str">
        <f>_xlfn.IFNA(IF(I170=0,"-",IF(VLOOKUP(A170,[2]库存AMZ!A:CH,14,0)&gt;0,"≥1 Year",IF(VLOOKUP(A170,[2]库存AMZ!A:CH,13,0)&gt;0,"≥9 Months",IF(VLOOKUP(A170,[2]库存AMZ!A:CH,12,0)&gt;0,"≥6 Months",IF(VLOOKUP(A170,[2]库存AMZ!A:CH,11,0)&gt;0,"≥3 Months","正常"))))),"-")</f>
        <v>-</v>
      </c>
      <c r="K170" s="24" t="str">
        <f>_xlfn.IFNA(VLOOKUP(A170,[2]库存AMZ!A:CN,56,0),"")</f>
        <v/>
      </c>
      <c r="L170" s="10" t="str">
        <f>_xlfn.IFNA(VLOOKUP(A170,[2]库存AMZ!A:CH,59,0),"")</f>
        <v/>
      </c>
    </row>
    <row r="171" ht="15.6" spans="1:12">
      <c r="A171" s="74" t="s">
        <v>359</v>
      </c>
      <c r="B171" s="75" t="s">
        <v>360</v>
      </c>
      <c r="C171" s="76" t="s">
        <v>353</v>
      </c>
      <c r="D171" s="76">
        <v>1300100193</v>
      </c>
      <c r="E171" s="77" t="str">
        <f>VLOOKUP(D171,[2]SKU!A:AK,2,0)</f>
        <v>三维扫描仪Seal豪华款(美欧)</v>
      </c>
      <c r="F171" s="78" t="str">
        <f>VLOOKUP(D171,[2]SKU!A:AK,8,0)</f>
        <v>三维扫描仪-JMS2</v>
      </c>
      <c r="G171" s="78" t="s">
        <v>194</v>
      </c>
      <c r="H171" s="75" t="str">
        <f>VLOOKUP(D171,[2]SKU!A:AK,26,0)</f>
        <v>JMS2</v>
      </c>
      <c r="I171" s="22">
        <f>_xlfn.IFNA(VLOOKUP(A171,[2]库存AMZ!A:CH,8,0),"0")</f>
        <v>9</v>
      </c>
      <c r="J171" s="23" t="str">
        <f>_xlfn.IFNA(IF(I171=0,"-",IF(VLOOKUP(A171,[2]库存AMZ!A:CH,14,0)&gt;0,"≥1 Year",IF(VLOOKUP(A171,[2]库存AMZ!A:CH,13,0)&gt;0,"≥9 Months",IF(VLOOKUP(A171,[2]库存AMZ!A:CH,12,0)&gt;0,"≥6 Months",IF(VLOOKUP(A171,[2]库存AMZ!A:CH,11,0)&gt;0,"≥3 Months","正常"))))),"-")</f>
        <v>≥9 Months</v>
      </c>
      <c r="K171" s="24">
        <f>_xlfn.IFNA(VLOOKUP(A171,[2]库存AMZ!A:CN,56,0),"")</f>
        <v>0</v>
      </c>
      <c r="L171" s="10">
        <f>_xlfn.IFNA(VLOOKUP(A171,[2]库存AMZ!A:CH,59,0),"")</f>
        <v>0</v>
      </c>
    </row>
    <row r="172" ht="15.6" spans="1:12">
      <c r="A172" s="74" t="s">
        <v>361</v>
      </c>
      <c r="B172" s="75" t="s">
        <v>362</v>
      </c>
      <c r="C172" s="76" t="s">
        <v>353</v>
      </c>
      <c r="D172" s="76">
        <v>1300100182</v>
      </c>
      <c r="E172" s="77" t="str">
        <f>VLOOKUP(D172,[2]SKU!A:AK,2,0)</f>
        <v>三维扫描仪Seal升级款(美欧)</v>
      </c>
      <c r="F172" s="78" t="str">
        <f>VLOOKUP(D172,[2]SKU!A:AK,8,0)</f>
        <v>三维扫描仪-JMS2</v>
      </c>
      <c r="G172" s="78" t="s">
        <v>188</v>
      </c>
      <c r="H172" s="75" t="str">
        <f>VLOOKUP(D172,[2]SKU!A:AK,26,0)</f>
        <v>JMS2</v>
      </c>
      <c r="I172" s="22">
        <f>_xlfn.IFNA(VLOOKUP(A172,[2]库存AMZ!A:CH,8,0),"0")</f>
        <v>11</v>
      </c>
      <c r="J172" s="23" t="str">
        <f>_xlfn.IFNA(IF(I172=0,"-",IF(VLOOKUP(A172,[2]库存AMZ!A:CH,14,0)&gt;0,"≥1 Year",IF(VLOOKUP(A172,[2]库存AMZ!A:CH,13,0)&gt;0,"≥9 Months",IF(VLOOKUP(A172,[2]库存AMZ!A:CH,12,0)&gt;0,"≥6 Months",IF(VLOOKUP(A172,[2]库存AMZ!A:CH,11,0)&gt;0,"≥3 Months","正常"))))),"-")</f>
        <v>≥9 Months</v>
      </c>
      <c r="K172" s="47">
        <v>12</v>
      </c>
      <c r="L172" s="10">
        <f>_xlfn.IFNA(VLOOKUP(A172,[2]库存AMZ!A:CH,59,0),"")</f>
        <v>0</v>
      </c>
    </row>
    <row r="173" ht="15.6" spans="1:12">
      <c r="A173" s="74" t="s">
        <v>363</v>
      </c>
      <c r="B173" s="79" t="s">
        <v>364</v>
      </c>
      <c r="C173" s="76" t="s">
        <v>353</v>
      </c>
      <c r="D173" s="76">
        <v>1300100223</v>
      </c>
      <c r="E173" s="77" t="s">
        <v>179</v>
      </c>
      <c r="F173" s="78" t="str">
        <f>VLOOKUP(D173,[2]SKU!A:AK,8,0)</f>
        <v>三维扫描仪-JMS1</v>
      </c>
      <c r="G173" s="78" t="s">
        <v>180</v>
      </c>
      <c r="H173" s="75" t="str">
        <f>VLOOKUP(D173,[2]SKU!A:AK,26,0)</f>
        <v>JMS1</v>
      </c>
      <c r="I173" s="22">
        <f>_xlfn.IFNA(VLOOKUP(A173,[2]库存AMZ!A:CH,8,0),"0")</f>
        <v>70</v>
      </c>
      <c r="J173" s="23" t="str">
        <f>_xlfn.IFNA(IF(I173=0,"-",IF(VLOOKUP(A173,[2]库存AMZ!A:CH,14,0)&gt;0,"≥1 Year",IF(VLOOKUP(A173,[2]库存AMZ!A:CH,13,0)&gt;0,"≥9 Months",IF(VLOOKUP(A173,[2]库存AMZ!A:CH,12,0)&gt;0,"≥6 Months",IF(VLOOKUP(A173,[2]库存AMZ!A:CH,11,0)&gt;0,"≥3 Months","正常"))))),"-")</f>
        <v>≥3 Months</v>
      </c>
      <c r="K173" s="24">
        <f>_xlfn.IFNA(VLOOKUP(A173,[2]库存AMZ!A:CN,56,0),"")</f>
        <v>0</v>
      </c>
      <c r="L173" s="10">
        <f>_xlfn.IFNA(VLOOKUP(A173,[2]库存AMZ!A:CH,59,0),"")</f>
        <v>0</v>
      </c>
    </row>
    <row r="174" customFormat="1" ht="21.6" spans="1:12">
      <c r="A174" s="74" t="s">
        <v>365</v>
      </c>
      <c r="B174" s="79" t="s">
        <v>366</v>
      </c>
      <c r="C174" s="76" t="s">
        <v>353</v>
      </c>
      <c r="D174" s="76">
        <v>1300100222</v>
      </c>
      <c r="E174" s="77" t="s">
        <v>23</v>
      </c>
      <c r="F174" s="78" t="str">
        <f>VLOOKUP(D174,[2]SKU!A:AK,8,0)</f>
        <v>三维扫描仪-JMS1</v>
      </c>
      <c r="G174" s="78" t="s">
        <v>25</v>
      </c>
      <c r="H174" s="75" t="str">
        <f>VLOOKUP(D174,[2]SKU!A:AK,26,0)</f>
        <v>JMS1</v>
      </c>
      <c r="I174" s="22">
        <f>_xlfn.IFNA(VLOOKUP(A174,[2]库存AMZ!A:CH,8,0),"0")</f>
        <v>43</v>
      </c>
      <c r="J174" s="23" t="str">
        <f>_xlfn.IFNA(IF(I174=0,"-",IF(VLOOKUP(A174,[2]库存AMZ!A:CH,14,0)&gt;0,"≥1 Year",IF(VLOOKUP(A174,[2]库存AMZ!A:CH,13,0)&gt;0,"≥9 Months",IF(VLOOKUP(A174,[2]库存AMZ!A:CH,12,0)&gt;0,"≥6 Months",IF(VLOOKUP(A174,[2]库存AMZ!A:CH,11,0)&gt;0,"≥3 Months","正常"))))),"-")</f>
        <v>≥3 Months</v>
      </c>
      <c r="K174" s="47">
        <v>20</v>
      </c>
      <c r="L174" s="10">
        <f>_xlfn.IFNA(VLOOKUP(A174,[2]库存AMZ!A:CH,59,0),"")</f>
        <v>0</v>
      </c>
    </row>
    <row r="175" s="2" customFormat="1" ht="21.6" spans="1:12">
      <c r="A175" s="74" t="s">
        <v>367</v>
      </c>
      <c r="B175" s="79" t="s">
        <v>368</v>
      </c>
      <c r="C175" s="80" t="s">
        <v>353</v>
      </c>
      <c r="D175" s="80">
        <v>1300100232</v>
      </c>
      <c r="E175" s="81" t="s">
        <v>56</v>
      </c>
      <c r="F175" s="82" t="str">
        <f>VLOOKUP(D175,[2]SKU!A:AK,8,0)</f>
        <v>三维扫描仪-JMM4</v>
      </c>
      <c r="G175" s="82" t="s">
        <v>57</v>
      </c>
      <c r="H175" s="75" t="str">
        <f>VLOOKUP(D175,[2]SKU!A:AK,26,0)</f>
        <v>JMM4</v>
      </c>
      <c r="I175" s="22">
        <f>_xlfn.IFNA(VLOOKUP(A175,[2]库存AMZ!A:CH,8,0),"0")</f>
        <v>52</v>
      </c>
      <c r="J175" s="23" t="str">
        <f>_xlfn.IFNA(IF(I175=0,"-",IF(VLOOKUP(A175,[2]库存AMZ!A:CH,14,0)&gt;0,"≥1 Year",IF(VLOOKUP(A175,[2]库存AMZ!A:CH,13,0)&gt;0,"≥9 Months",IF(VLOOKUP(A175,[2]库存AMZ!A:CH,12,0)&gt;0,"≥6 Months",IF(VLOOKUP(A175,[2]库存AMZ!A:CH,11,0)&gt;0,"≥3 Months","正常"))))),"-")</f>
        <v>≥3 Months</v>
      </c>
      <c r="K175" s="24">
        <f>_xlfn.IFNA(VLOOKUP(A175,[2]库存AMZ!A:CN,56,0),"")</f>
        <v>0</v>
      </c>
      <c r="L175" s="10">
        <f>_xlfn.IFNA(VLOOKUP(A175,[2]库存AMZ!A:CH,59,0),"")</f>
        <v>0</v>
      </c>
    </row>
    <row r="176" ht="21.6" spans="1:12">
      <c r="A176" s="74" t="s">
        <v>369</v>
      </c>
      <c r="B176" s="75" t="s">
        <v>370</v>
      </c>
      <c r="C176" s="76" t="s">
        <v>353</v>
      </c>
      <c r="D176" s="76">
        <v>1300100233</v>
      </c>
      <c r="E176" s="77" t="s">
        <v>59</v>
      </c>
      <c r="F176" s="78" t="str">
        <f>VLOOKUP(D176,[2]SKU!A:AK,8,0)</f>
        <v>三维扫描仪-JMM4</v>
      </c>
      <c r="G176" s="78" t="s">
        <v>61</v>
      </c>
      <c r="H176" s="75" t="str">
        <f>VLOOKUP(D176,[2]SKU!A:AK,26,0)</f>
        <v>JMM4</v>
      </c>
      <c r="I176" s="22">
        <f>_xlfn.IFNA(VLOOKUP(A176,[2]库存AMZ!A:CH,8,0),"0")</f>
        <v>20</v>
      </c>
      <c r="J176" s="23" t="str">
        <f>_xlfn.IFNA(IF(I176=0,"-",IF(VLOOKUP(A176,[2]库存AMZ!A:CH,14,0)&gt;0,"≥1 Year",IF(VLOOKUP(A176,[2]库存AMZ!A:CH,13,0)&gt;0,"≥9 Months",IF(VLOOKUP(A176,[2]库存AMZ!A:CH,12,0)&gt;0,"≥6 Months",IF(VLOOKUP(A176,[2]库存AMZ!A:CH,11,0)&gt;0,"≥3 Months","正常"))))),"-")</f>
        <v>≥3 Months</v>
      </c>
      <c r="K176" s="47">
        <v>42</v>
      </c>
      <c r="L176" s="10">
        <f>_xlfn.IFNA(VLOOKUP(A176,[2]库存AMZ!A:CH,59,0),"")</f>
        <v>1</v>
      </c>
    </row>
    <row r="177" s="2" customFormat="1" ht="15.6" spans="1:12">
      <c r="A177" s="74" t="s">
        <v>371</v>
      </c>
      <c r="B177" s="79" t="s">
        <v>372</v>
      </c>
      <c r="C177" s="80" t="s">
        <v>353</v>
      </c>
      <c r="D177" s="80">
        <v>1300100229</v>
      </c>
      <c r="E177" s="81" t="s">
        <v>45</v>
      </c>
      <c r="F177" s="82" t="str">
        <f>VLOOKUP(D177,[2]SKU!A:AK,8,0)</f>
        <v>三维扫描仪-JMM3</v>
      </c>
      <c r="G177" s="82" t="s">
        <v>46</v>
      </c>
      <c r="H177" s="75" t="str">
        <f>VLOOKUP(D177,[2]SKU!A:AK,26,0)</f>
        <v>JMM3</v>
      </c>
      <c r="I177" s="22">
        <f>_xlfn.IFNA(VLOOKUP(A177,[2]库存AMZ!A:CH,8,0),"0")</f>
        <v>29</v>
      </c>
      <c r="J177" s="23" t="str">
        <f>_xlfn.IFNA(IF(I177=0,"-",IF(VLOOKUP(A177,[2]库存AMZ!A:CH,14,0)&gt;0,"≥1 Year",IF(VLOOKUP(A177,[2]库存AMZ!A:CH,13,0)&gt;0,"≥9 Months",IF(VLOOKUP(A177,[2]库存AMZ!A:CH,12,0)&gt;0,"≥6 Months",IF(VLOOKUP(A177,[2]库存AMZ!A:CH,11,0)&gt;0,"≥3 Months","正常"))))),"-")</f>
        <v>≥3 Months</v>
      </c>
      <c r="K177" s="24">
        <f>_xlfn.IFNA(VLOOKUP(A177,[2]库存AMZ!A:CN,56,0),"")</f>
        <v>0</v>
      </c>
      <c r="L177" s="10">
        <f>_xlfn.IFNA(VLOOKUP(A177,[2]库存AMZ!A:CH,59,0),"")</f>
        <v>0</v>
      </c>
    </row>
    <row r="178" ht="15.6" spans="1:12">
      <c r="A178" s="74" t="s">
        <v>373</v>
      </c>
      <c r="B178" s="75" t="s">
        <v>374</v>
      </c>
      <c r="C178" s="76" t="s">
        <v>353</v>
      </c>
      <c r="D178" s="76">
        <v>1300100230</v>
      </c>
      <c r="E178" s="77" t="s">
        <v>48</v>
      </c>
      <c r="F178" s="78" t="str">
        <f>VLOOKUP(D178,[2]SKU!A:AK,8,0)</f>
        <v>三维扫描仪-JMM3</v>
      </c>
      <c r="G178" s="78" t="s">
        <v>50</v>
      </c>
      <c r="H178" s="75" t="str">
        <f>VLOOKUP(D178,[2]SKU!A:AK,26,0)</f>
        <v>JMM3</v>
      </c>
      <c r="I178" s="22">
        <f>_xlfn.IFNA(VLOOKUP(A178,[2]库存AMZ!A:CH,8,0),"0")</f>
        <v>26</v>
      </c>
      <c r="J178" s="23" t="str">
        <f>_xlfn.IFNA(IF(I178=0,"-",IF(VLOOKUP(A178,[2]库存AMZ!A:CH,14,0)&gt;0,"≥1 Year",IF(VLOOKUP(A178,[2]库存AMZ!A:CH,13,0)&gt;0,"≥9 Months",IF(VLOOKUP(A178,[2]库存AMZ!A:CH,12,0)&gt;0,"≥6 Months",IF(VLOOKUP(A178,[2]库存AMZ!A:CH,11,0)&gt;0,"≥3 Months","正常"))))),"-")</f>
        <v>≥3 Months</v>
      </c>
      <c r="K178" s="24">
        <f>_xlfn.IFNA(VLOOKUP(A178,[2]库存AMZ!A:CN,56,0),"")</f>
        <v>0</v>
      </c>
      <c r="L178" s="10">
        <f>_xlfn.IFNA(VLOOKUP(A178,[2]库存AMZ!A:CH,59,0),"")</f>
        <v>18</v>
      </c>
    </row>
    <row r="179" ht="15.6" spans="1:12">
      <c r="A179" s="74" t="s">
        <v>375</v>
      </c>
      <c r="B179" s="75" t="s">
        <v>376</v>
      </c>
      <c r="C179" s="76" t="s">
        <v>353</v>
      </c>
      <c r="D179" s="76">
        <v>1300100118</v>
      </c>
      <c r="E179" s="77" t="s">
        <v>273</v>
      </c>
      <c r="F179" s="78" t="s">
        <v>28</v>
      </c>
      <c r="G179" s="78" t="s">
        <v>29</v>
      </c>
      <c r="H179" s="75" t="s">
        <v>15</v>
      </c>
      <c r="I179" s="22">
        <f>_xlfn.IFNA(VLOOKUP(A179,[2]库存AMZ!A:CH,8,0),"0")</f>
        <v>20</v>
      </c>
      <c r="J179" s="23" t="str">
        <f>_xlfn.IFNA(IF(I179=0,"-",IF(VLOOKUP(A179,[2]库存AMZ!A:CH,14,0)&gt;0,"≥1 Year",IF(VLOOKUP(A179,[2]库存AMZ!A:CH,13,0)&gt;0,"≥9 Months",IF(VLOOKUP(A179,[2]库存AMZ!A:CH,12,0)&gt;0,"≥6 Months",IF(VLOOKUP(A179,[2]库存AMZ!A:CH,11,0)&gt;0,"≥3 Months","正常"))))),"-")</f>
        <v>≥3 Months</v>
      </c>
      <c r="K179" s="47">
        <v>60</v>
      </c>
      <c r="L179" s="10">
        <f>_xlfn.IFNA(VLOOKUP(A179,[2]库存AMZ!A:CH,59,0),"")</f>
        <v>0</v>
      </c>
    </row>
    <row r="180" ht="15.6" spans="1:12">
      <c r="A180" s="74" t="s">
        <v>377</v>
      </c>
      <c r="B180" s="75"/>
      <c r="C180" s="76" t="s">
        <v>353</v>
      </c>
      <c r="D180" s="76">
        <v>1300100082</v>
      </c>
      <c r="E180" s="77" t="s">
        <v>378</v>
      </c>
      <c r="F180" s="78" t="s">
        <v>28</v>
      </c>
      <c r="G180" s="78" t="s">
        <v>35</v>
      </c>
      <c r="H180" s="75" t="s">
        <v>15</v>
      </c>
      <c r="I180" s="22">
        <f>_xlfn.IFNA(VLOOKUP(A180,[2]库存AMZ!A:CH,8,0),"0")</f>
        <v>4</v>
      </c>
      <c r="J180" s="23" t="str">
        <f>_xlfn.IFNA(IF(I180=0,"-",IF(VLOOKUP(A180,[2]库存AMZ!A:CH,14,0)&gt;0,"≥1 Year",IF(VLOOKUP(A180,[2]库存AMZ!A:CH,13,0)&gt;0,"≥9 Months",IF(VLOOKUP(A180,[2]库存AMZ!A:CH,12,0)&gt;0,"≥6 Months",IF(VLOOKUP(A180,[2]库存AMZ!A:CH,11,0)&gt;0,"≥3 Months","正常"))))),"-")</f>
        <v>≥3 Months</v>
      </c>
      <c r="K180" s="47">
        <v>24</v>
      </c>
      <c r="L180" s="10">
        <f>_xlfn.IFNA(VLOOKUP(A180,[2]库存AMZ!A:CH,59,0),"")</f>
        <v>0</v>
      </c>
    </row>
    <row r="181" ht="15.6" spans="1:12">
      <c r="A181" s="74" t="s">
        <v>379</v>
      </c>
      <c r="B181" s="75"/>
      <c r="C181" s="76" t="s">
        <v>353</v>
      </c>
      <c r="D181" s="76">
        <v>1300100260</v>
      </c>
      <c r="E181" s="77" t="s">
        <v>114</v>
      </c>
      <c r="F181" s="78" t="s">
        <v>115</v>
      </c>
      <c r="G181" s="78" t="s">
        <v>116</v>
      </c>
      <c r="H181" s="75" t="s">
        <v>117</v>
      </c>
      <c r="I181" s="22" t="str">
        <f>_xlfn.IFNA(VLOOKUP(A181,[2]库存AMZ!A:CH,8,0),"0")</f>
        <v>0</v>
      </c>
      <c r="J181" s="23" t="str">
        <f>_xlfn.IFNA(IF(I181=0,"-",IF(VLOOKUP(A181,[2]库存AMZ!A:CH,14,0)&gt;0,"≥1 Year",IF(VLOOKUP(A181,[2]库存AMZ!A:CH,13,0)&gt;0,"≥9 Months",IF(VLOOKUP(A181,[2]库存AMZ!A:CH,12,0)&gt;0,"≥6 Months",IF(VLOOKUP(A181,[2]库存AMZ!A:CH,11,0)&gt;0,"≥3 Months","正常"))))),"-")</f>
        <v>-</v>
      </c>
      <c r="K181" s="47">
        <f>20+10</f>
        <v>30</v>
      </c>
      <c r="L181" s="10" t="str">
        <f>_xlfn.IFNA(VLOOKUP(A181,[2]库存AMZ!A:CH,59,0),"")</f>
        <v/>
      </c>
    </row>
    <row r="182" ht="15.6" spans="1:12">
      <c r="A182" s="73" t="s">
        <v>380</v>
      </c>
      <c r="B182" s="40" t="str">
        <f>VLOOKUP(A182,[2]库存AMZUK!A:Z,3,0)</f>
        <v>mole-s</v>
      </c>
      <c r="C182" s="41" t="s">
        <v>381</v>
      </c>
      <c r="D182" s="41">
        <v>1300100044</v>
      </c>
      <c r="E182" s="42" t="str">
        <f>VLOOKUP(D182,[2]SKU!A:AK,2,0)</f>
        <v>三维扫描仪Mole基础款(英文版)</v>
      </c>
      <c r="F182" s="43" t="str">
        <f>VLOOKUP(D182,[2]SKU!A:AK,8,0)</f>
        <v>三维扫描仪-JMM1</v>
      </c>
      <c r="G182" s="43" t="s">
        <v>134</v>
      </c>
      <c r="H182" s="40" t="str">
        <f>VLOOKUP(D182,[2]SKU!A:AK,26,0)</f>
        <v>JMM1</v>
      </c>
      <c r="I182" s="22">
        <f>_xlfn.IFNA(VLOOKUP(A182,[2]库存AMZUK!A:AS,8,0),"0")</f>
        <v>21</v>
      </c>
      <c r="J182" s="23" t="str">
        <f>_xlfn.IFNA(IF(I182=0,"-",IF(VLOOKUP(A182,[2]库存AMZUK!A:BV,14,0)&gt;0,"1 Year",IF(VLOOKUP(A182,[2]库存AMZUK!A:BV,13,0)&gt;0,"≥9 Months",IF(VLOOKUP(A182,[2]库存AMZUK!A:BV,12,0)&gt;0,"≥6 Months",IF(VLOOKUP(A182,[2]库存AMZUK!A:BV,11,0)&gt;0,"≥3 Months","正常"))))),"-")</f>
        <v>正常</v>
      </c>
      <c r="K182" s="24">
        <f>_xlfn.IFNA(VLOOKUP(A179,[2]库存AMZUK!A:CI,56,0),"")</f>
        <v>0</v>
      </c>
      <c r="L182" s="10">
        <f>_xlfn.IFNA(VLOOKUP(A179,[2]库存AMZUK!A:CI,59,0),"")</f>
        <v>0</v>
      </c>
    </row>
    <row r="183" ht="32.4" spans="1:12">
      <c r="A183" s="73" t="s">
        <v>382</v>
      </c>
      <c r="B183" s="40" t="s">
        <v>383</v>
      </c>
      <c r="C183" s="41" t="s">
        <v>381</v>
      </c>
      <c r="D183" s="41">
        <v>1300100108</v>
      </c>
      <c r="E183" s="42" t="str">
        <f>VLOOKUP(D183,[2]SKU!A:AK,2,0)</f>
        <v>三维扫描仪Lynx基础款(英规)</v>
      </c>
      <c r="F183" s="43" t="str">
        <f>VLOOKUP(D183,[2]SKU!A:AK,8,0)</f>
        <v>三维扫描仪-JML1</v>
      </c>
      <c r="G183" s="43" t="s">
        <v>123</v>
      </c>
      <c r="H183" s="40" t="str">
        <f>VLOOKUP(D183,[2]SKU!A:AK,26,0)</f>
        <v>JML1</v>
      </c>
      <c r="I183" s="22">
        <f>_xlfn.IFNA(VLOOKUP(A183,[2]库存AMZUK!A:AS,8,0),"0")</f>
        <v>1</v>
      </c>
      <c r="J183" s="23" t="str">
        <f>_xlfn.IFNA(IF(I183=0,"-",IF(VLOOKUP(A183,[2]库存AMZUK!A:BV,14,0)&gt;0,"1 Year",IF(VLOOKUP(A183,[2]库存AMZUK!A:BV,13,0)&gt;0,"≥9 Months",IF(VLOOKUP(A183,[2]库存AMZUK!A:BV,12,0)&gt;0,"≥6 Months",IF(VLOOKUP(A183,[2]库存AMZUK!A:BV,11,0)&gt;0,"≥3 Months","正常"))))),"-")</f>
        <v>1 Year</v>
      </c>
      <c r="K183" s="24">
        <f>_xlfn.IFNA(VLOOKUP(A180,[2]库存AMZUK!A:CI,56,0),"")</f>
        <v>0</v>
      </c>
      <c r="L183" s="10">
        <f>_xlfn.IFNA(VLOOKUP(A182,[2]库存AMZUK!A:CI,59,0),"")</f>
        <v>0</v>
      </c>
    </row>
    <row r="184" ht="32.4" spans="1:12">
      <c r="A184" s="73" t="s">
        <v>384</v>
      </c>
      <c r="B184" s="40" t="s">
        <v>385</v>
      </c>
      <c r="C184" s="41" t="s">
        <v>381</v>
      </c>
      <c r="D184" s="41">
        <v>1300100108</v>
      </c>
      <c r="E184" s="42" t="str">
        <f>VLOOKUP(D184,[2]SKU!A:AK,2,0)</f>
        <v>三维扫描仪Lynx基础款(英规)</v>
      </c>
      <c r="F184" s="43" t="str">
        <f>VLOOKUP(D184,[2]SKU!A:AK,8,0)</f>
        <v>三维扫描仪-JML1</v>
      </c>
      <c r="G184" s="43" t="s">
        <v>123</v>
      </c>
      <c r="H184" s="40" t="str">
        <f>VLOOKUP(D184,[2]SKU!A:AK,26,0)</f>
        <v>JML1</v>
      </c>
      <c r="I184" s="22">
        <f>_xlfn.IFNA(VLOOKUP(A184,[2]库存AMZUK!A:AS,8,0),"0")</f>
        <v>3</v>
      </c>
      <c r="J184" s="23" t="str">
        <f>_xlfn.IFNA(IF(I184=0,"-",IF(VLOOKUP(A184,[2]库存AMZUK!A:BV,14,0)&gt;0,"1 Year",IF(VLOOKUP(A184,[2]库存AMZUK!A:BV,13,0)&gt;0,"≥9 Months",IF(VLOOKUP(A184,[2]库存AMZUK!A:BV,12,0)&gt;0,"≥6 Months",IF(VLOOKUP(A184,[2]库存AMZUK!A:BV,11,0)&gt;0,"≥3 Months","正常"))))),"-")</f>
        <v>≥9 Months</v>
      </c>
      <c r="K184" s="24">
        <f>_xlfn.IFNA(VLOOKUP(A182,[2]库存AMZUK!A:CI,56,0),"")</f>
        <v>0</v>
      </c>
      <c r="L184" s="10">
        <f>_xlfn.IFNA(VLOOKUP(A183,[2]库存AMZUK!A:CI,59,0),"")</f>
        <v>0</v>
      </c>
    </row>
    <row r="185" ht="15.6" spans="1:12">
      <c r="A185" s="73" t="s">
        <v>359</v>
      </c>
      <c r="B185" s="40" t="str">
        <f>VLOOKUP(A185,[2]库存AMZUK!A:Z,3,0)</f>
        <v>seal-l</v>
      </c>
      <c r="C185" s="41" t="s">
        <v>381</v>
      </c>
      <c r="D185" s="41">
        <v>1300100192</v>
      </c>
      <c r="E185" s="42" t="str">
        <f>VLOOKUP(D185,[2]SKU!A:AK,2,0)</f>
        <v>三维扫描仪Seal豪华款(美英)</v>
      </c>
      <c r="F185" s="43" t="str">
        <f>VLOOKUP(D185,[2]SKU!A:AK,8,0)</f>
        <v>三维扫描仪-JMS2</v>
      </c>
      <c r="G185" s="43" t="s">
        <v>194</v>
      </c>
      <c r="H185" s="40" t="str">
        <f>VLOOKUP(D185,[2]SKU!A:AK,26,0)</f>
        <v>JMS2</v>
      </c>
      <c r="I185" s="22">
        <f>_xlfn.IFNA(VLOOKUP(A185,[2]库存AMZUK!A:AS,8,0),"0")</f>
        <v>16</v>
      </c>
      <c r="J185" s="23" t="str">
        <f>_xlfn.IFNA(IF(I185=0,"-",IF(VLOOKUP(A185,[2]库存AMZUK!A:BV,14,0)&gt;0,"1 Year",IF(VLOOKUP(A185,[2]库存AMZUK!A:BV,13,0)&gt;0,"≥9 Months",IF(VLOOKUP(A185,[2]库存AMZUK!A:BV,12,0)&gt;0,"≥6 Months",IF(VLOOKUP(A185,[2]库存AMZUK!A:BV,11,0)&gt;0,"≥3 Months","正常"))))),"-")</f>
        <v>正常</v>
      </c>
      <c r="K185" s="24">
        <f>_xlfn.IFNA(VLOOKUP(A183,[2]库存AMZUK!A:CI,56,0),"")</f>
        <v>0</v>
      </c>
      <c r="L185" s="10">
        <f>_xlfn.IFNA(VLOOKUP(A183,[2]库存AMZUK!A:CI,59,0),"")</f>
        <v>0</v>
      </c>
    </row>
    <row r="186" ht="32.4" spans="1:12">
      <c r="A186" s="73" t="s">
        <v>386</v>
      </c>
      <c r="B186" s="40" t="s">
        <v>387</v>
      </c>
      <c r="C186" s="41" t="s">
        <v>381</v>
      </c>
      <c r="D186" s="41">
        <v>1300100192</v>
      </c>
      <c r="E186" s="42" t="str">
        <f>VLOOKUP(D186,[2]SKU!A:AK,2,0)</f>
        <v>三维扫描仪Seal豪华款(美英)</v>
      </c>
      <c r="F186" s="43" t="str">
        <f>VLOOKUP(D186,[2]SKU!A:AK,8,0)</f>
        <v>三维扫描仪-JMS2</v>
      </c>
      <c r="G186" s="43" t="s">
        <v>194</v>
      </c>
      <c r="H186" s="40" t="str">
        <f>VLOOKUP(D186,[2]SKU!A:AK,26,0)</f>
        <v>JMS2</v>
      </c>
      <c r="I186" s="22">
        <f>_xlfn.IFNA(VLOOKUP(A186,[2]库存AMZUK!A:AS,8,0),"0")</f>
        <v>1</v>
      </c>
      <c r="J186" s="23" t="str">
        <f>_xlfn.IFNA(IF(I186=0,"-",IF(VLOOKUP(A186,[2]库存AMZUK!A:BV,14,0)&gt;0,"1 Year",IF(VLOOKUP(A186,[2]库存AMZUK!A:BV,13,0)&gt;0,"≥9 Months",IF(VLOOKUP(A186,[2]库存AMZUK!A:BV,12,0)&gt;0,"≥6 Months",IF(VLOOKUP(A186,[2]库存AMZUK!A:BV,11,0)&gt;0,"≥3 Months","正常"))))),"-")</f>
        <v>正常</v>
      </c>
      <c r="K186" s="24">
        <f>_xlfn.IFNA(VLOOKUP(A184,[2]库存AMZUK!A:CI,56,0),"")</f>
        <v>0</v>
      </c>
      <c r="L186" s="10">
        <f>_xlfn.IFNA(VLOOKUP(A184,[2]库存AMZUK!A:CI,59,0),"")</f>
        <v>0</v>
      </c>
    </row>
    <row r="187" ht="15.6" spans="1:12">
      <c r="A187" s="73" t="s">
        <v>361</v>
      </c>
      <c r="B187" s="40" t="s">
        <v>362</v>
      </c>
      <c r="C187" s="41" t="s">
        <v>381</v>
      </c>
      <c r="D187" s="41">
        <v>1300100181</v>
      </c>
      <c r="E187" s="42" t="str">
        <f>VLOOKUP(D187,[2]SKU!A:AK,2,0)</f>
        <v>三维扫描仪Seal升级款(美英)</v>
      </c>
      <c r="F187" s="43" t="str">
        <f>VLOOKUP(D187,[2]SKU!A:AK,8,0)</f>
        <v>三维扫描仪-JMS2</v>
      </c>
      <c r="G187" s="43" t="s">
        <v>188</v>
      </c>
      <c r="H187" s="40" t="str">
        <f>VLOOKUP(D187,[2]SKU!A:AK,26,0)</f>
        <v>JMS2</v>
      </c>
      <c r="I187" s="22">
        <f>_xlfn.IFNA(VLOOKUP(A187,[2]库存AMZUK!A:AS,8,0),"0")</f>
        <v>21</v>
      </c>
      <c r="J187" s="23" t="str">
        <f>_xlfn.IFNA(IF(I187=0,"-",IF(VLOOKUP(A187,[2]库存AMZUK!A:BV,14,0)&gt;0,"1 Year",IF(VLOOKUP(A187,[2]库存AMZUK!A:BV,13,0)&gt;0,"≥9 Months",IF(VLOOKUP(A187,[2]库存AMZUK!A:BV,12,0)&gt;0,"≥6 Months",IF(VLOOKUP(A187,[2]库存AMZUK!A:BV,11,0)&gt;0,"≥3 Months","正常"))))),"-")</f>
        <v>正常</v>
      </c>
      <c r="K187" s="24">
        <f>_xlfn.IFNA(VLOOKUP(A185,[2]库存AMZUK!A:CI,56,0),"")</f>
        <v>0</v>
      </c>
      <c r="L187" s="10">
        <f>_xlfn.IFNA(VLOOKUP(A184,[2]库存AMZUK!A:CI,59,0),"")</f>
        <v>0</v>
      </c>
    </row>
    <row r="188" ht="32.4" spans="1:12">
      <c r="A188" s="73" t="s">
        <v>388</v>
      </c>
      <c r="B188" s="40" t="s">
        <v>389</v>
      </c>
      <c r="C188" s="41" t="s">
        <v>381</v>
      </c>
      <c r="D188" s="41">
        <v>1300100181</v>
      </c>
      <c r="E188" s="42" t="str">
        <f>VLOOKUP(D188,[2]SKU!A:AK,2,0)</f>
        <v>三维扫描仪Seal升级款(美英)</v>
      </c>
      <c r="F188" s="43" t="str">
        <f>VLOOKUP(D188,[2]SKU!A:AK,8,0)</f>
        <v>三维扫描仪-JMS2</v>
      </c>
      <c r="G188" s="43" t="s">
        <v>188</v>
      </c>
      <c r="H188" s="40" t="str">
        <f>VLOOKUP(D188,[2]SKU!A:AK,26,0)</f>
        <v>JMS2</v>
      </c>
      <c r="I188" s="22">
        <f>_xlfn.IFNA(VLOOKUP(A188,[2]库存AMZUK!A:AS,8,0),"0")</f>
        <v>1</v>
      </c>
      <c r="J188" s="23" t="str">
        <f>_xlfn.IFNA(IF(I188=0,"-",IF(VLOOKUP(A188,[2]库存AMZUK!A:BV,14,0)&gt;0,"1 Year",IF(VLOOKUP(A188,[2]库存AMZUK!A:BV,13,0)&gt;0,"≥9 Months",IF(VLOOKUP(A188,[2]库存AMZUK!A:BV,12,0)&gt;0,"≥6 Months",IF(VLOOKUP(A188,[2]库存AMZUK!A:BV,11,0)&gt;0,"≥3 Months","正常"))))),"-")</f>
        <v>≥6 Months</v>
      </c>
      <c r="K188" s="24">
        <f>_xlfn.IFNA(VLOOKUP(A186,[2]库存AMZUK!A:CI,56,0),"")</f>
        <v>0</v>
      </c>
      <c r="L188" s="10">
        <f>_xlfn.IFNA(VLOOKUP(A185,[2]库存AMZUK!A:CI,59,0),"")</f>
        <v>0</v>
      </c>
    </row>
    <row r="189" ht="15.6" spans="1:12">
      <c r="A189" s="73" t="s">
        <v>390</v>
      </c>
      <c r="B189" s="40" t="str">
        <f>VLOOKUP(A189,[2]库存AMZUK!A:Z,3,0)</f>
        <v>seallite-s</v>
      </c>
      <c r="C189" s="41" t="s">
        <v>381</v>
      </c>
      <c r="D189" s="41">
        <v>1300100124</v>
      </c>
      <c r="E189" s="42" t="str">
        <f>VLOOKUP(D189,[2]SKU!A:AK,2,0)</f>
        <v>三维扫描仪Seal Lite基础款(美英)</v>
      </c>
      <c r="F189" s="43" t="str">
        <f>VLOOKUP(D189,[2]SKU!A:AK,8,0)</f>
        <v>三维扫描仪-JMS1</v>
      </c>
      <c r="G189" s="43" t="s">
        <v>25</v>
      </c>
      <c r="H189" s="40" t="str">
        <f>VLOOKUP(D189,[2]SKU!A:AK,26,0)</f>
        <v>JMS1</v>
      </c>
      <c r="I189" s="22">
        <f>_xlfn.IFNA(VLOOKUP(A189,[2]库存AMZUK!A:AS,8,0),"0")</f>
        <v>3</v>
      </c>
      <c r="J189" s="23" t="str">
        <f>_xlfn.IFNA(IF(I189=0,"-",IF(VLOOKUP(A189,[2]库存AMZUK!A:BV,14,0)&gt;0,"1 Year",IF(VLOOKUP(A189,[2]库存AMZUK!A:BV,13,0)&gt;0,"≥9 Months",IF(VLOOKUP(A189,[2]库存AMZUK!A:BV,12,0)&gt;0,"≥6 Months",IF(VLOOKUP(A189,[2]库存AMZUK!A:BV,11,0)&gt;0,"≥3 Months","正常"))))),"-")</f>
        <v>≥9 Months</v>
      </c>
      <c r="K189" s="24">
        <f>_xlfn.IFNA(VLOOKUP(A187,[2]库存AMZUK!A:CI,56,0),"")</f>
        <v>0</v>
      </c>
      <c r="L189" s="10">
        <f>_xlfn.IFNA(VLOOKUP(A187,[2]库存AMZUK!A:CI,59,0),"")</f>
        <v>12</v>
      </c>
    </row>
    <row r="190" ht="32.4" spans="1:12">
      <c r="A190" s="73" t="s">
        <v>391</v>
      </c>
      <c r="B190" s="40" t="str">
        <f>VLOOKUP(A190,[2]库存AMZUK!A:Z,3,0)</f>
        <v>amzn.gr.seallite-s-v240dsf1yA9aG9nDZN-LN</v>
      </c>
      <c r="C190" s="41" t="s">
        <v>381</v>
      </c>
      <c r="D190" s="41">
        <v>1300100124</v>
      </c>
      <c r="E190" s="42" t="str">
        <f>VLOOKUP(D190,[2]SKU!A:AK,2,0)</f>
        <v>三维扫描仪Seal Lite基础款(美英)</v>
      </c>
      <c r="F190" s="43" t="str">
        <f>VLOOKUP(D190,[2]SKU!A:AK,8,0)</f>
        <v>三维扫描仪-JMS1</v>
      </c>
      <c r="G190" s="43" t="s">
        <v>25</v>
      </c>
      <c r="H190" s="40" t="str">
        <f>VLOOKUP(D190,[2]SKU!A:AK,26,0)</f>
        <v>JMS1</v>
      </c>
      <c r="I190" s="22">
        <f>_xlfn.IFNA(VLOOKUP(A190,[2]库存AMZUK!A:AS,8,0),"0")</f>
        <v>1</v>
      </c>
      <c r="J190" s="23" t="str">
        <f>_xlfn.IFNA(IF(I190=0,"-",IF(VLOOKUP(A190,[2]库存AMZUK!A:BV,14,0)&gt;0,"1 Year",IF(VLOOKUP(A190,[2]库存AMZUK!A:BV,13,0)&gt;0,"≥9 Months",IF(VLOOKUP(A190,[2]库存AMZUK!A:BV,12,0)&gt;0,"≥6 Months",IF(VLOOKUP(A190,[2]库存AMZUK!A:BV,11,0)&gt;0,"≥3 Months","正常"))))),"-")</f>
        <v>≥6 Months</v>
      </c>
      <c r="K190" s="24">
        <f>_xlfn.IFNA(VLOOKUP(A188,[2]库存AMZUK!A:CI,56,0),"")</f>
        <v>0</v>
      </c>
      <c r="L190" s="10">
        <f>_xlfn.IFNA(VLOOKUP(A189,[2]库存AMZUK!A:CI,59,0),"")</f>
        <v>0</v>
      </c>
    </row>
    <row r="191" customFormat="1" ht="32.4" spans="1:12">
      <c r="A191" s="73" t="s">
        <v>392</v>
      </c>
      <c r="B191" s="40" t="s">
        <v>393</v>
      </c>
      <c r="C191" s="41" t="s">
        <v>381</v>
      </c>
      <c r="D191" s="41">
        <v>1300100124</v>
      </c>
      <c r="E191" s="42" t="str">
        <f>VLOOKUP(D191,[2]SKU!A:AK,2,0)</f>
        <v>三维扫描仪Seal Lite基础款(美英)</v>
      </c>
      <c r="F191" s="43" t="str">
        <f>VLOOKUP(D191,[2]SKU!A:AK,8,0)</f>
        <v>三维扫描仪-JMS1</v>
      </c>
      <c r="G191" s="43" t="s">
        <v>25</v>
      </c>
      <c r="H191" s="40" t="str">
        <f>VLOOKUP(D191,[2]SKU!A:AK,26,0)</f>
        <v>JMS1</v>
      </c>
      <c r="I191" s="22">
        <f>_xlfn.IFNA(VLOOKUP(A191,[2]库存AMZUK!A:AS,8,0),"0")</f>
        <v>1</v>
      </c>
      <c r="J191" s="23" t="str">
        <f>_xlfn.IFNA(IF(I191=0,"-",IF(VLOOKUP(A191,[2]库存AMZUK!A:BV,14,0)&gt;0,"1 Year",IF(VLOOKUP(A191,[2]库存AMZUK!A:BV,13,0)&gt;0,"≥9 Months",IF(VLOOKUP(A191,[2]库存AMZUK!A:BV,12,0)&gt;0,"≥6 Months",IF(VLOOKUP(A191,[2]库存AMZUK!A:BV,11,0)&gt;0,"≥3 Months","正常"))))),"-")</f>
        <v>1 Year</v>
      </c>
      <c r="K191" s="24">
        <f>_xlfn.IFNA(VLOOKUP(A189,[2]库存AMZUK!A:CI,56,0),"")</f>
        <v>0</v>
      </c>
      <c r="L191" s="10">
        <f>_xlfn.IFNA(VLOOKUP(A190,[2]库存AMZUK!A:CI,59,0),"")</f>
        <v>0</v>
      </c>
    </row>
    <row r="192" customFormat="1" ht="15.6" spans="1:12">
      <c r="A192" s="73" t="s">
        <v>394</v>
      </c>
      <c r="B192" s="40"/>
      <c r="C192" s="41" t="s">
        <v>381</v>
      </c>
      <c r="D192" s="41">
        <v>1300100222</v>
      </c>
      <c r="E192" s="42" t="s">
        <v>23</v>
      </c>
      <c r="F192" s="43" t="str">
        <f>VLOOKUP(D192,[2]SKU!A:AK,8,0)</f>
        <v>三维扫描仪-JMS1</v>
      </c>
      <c r="G192" s="43" t="s">
        <v>25</v>
      </c>
      <c r="H192" s="40" t="str">
        <f>VLOOKUP(D192,[2]SKU!A:AK,26,0)</f>
        <v>JMS1</v>
      </c>
      <c r="I192" s="22">
        <f>_xlfn.IFNA(VLOOKUP(A192,[2]库存AMZUK!A:AS,8,0),"0")</f>
        <v>31</v>
      </c>
      <c r="J192" s="23" t="str">
        <f>_xlfn.IFNA(IF(I192=0,"-",IF(VLOOKUP(A192,[2]库存AMZUK!A:BV,14,0)&gt;0,"1 Year",IF(VLOOKUP(A192,[2]库存AMZUK!A:BV,13,0)&gt;0,"≥9 Months",IF(VLOOKUP(A192,[2]库存AMZUK!A:BV,12,0)&gt;0,"≥6 Months",IF(VLOOKUP(A192,[2]库存AMZUK!A:BV,11,0)&gt;0,"≥3 Months","正常"))))),"-")</f>
        <v>正常</v>
      </c>
      <c r="K192" s="24">
        <f>_xlfn.IFNA(VLOOKUP(A190,[2]库存AMZUK!A:CI,56,0),"")</f>
        <v>0</v>
      </c>
      <c r="L192" s="10">
        <f>_xlfn.IFNA(VLOOKUP(A191,[2]库存AMZUK!A:CI,59,0),"")</f>
        <v>0</v>
      </c>
    </row>
    <row r="193" ht="21.6" spans="1:12">
      <c r="A193" s="73" t="s">
        <v>395</v>
      </c>
      <c r="B193" s="40" t="s">
        <v>396</v>
      </c>
      <c r="C193" s="41" t="s">
        <v>381</v>
      </c>
      <c r="D193" s="41">
        <v>1300100223</v>
      </c>
      <c r="E193" s="42" t="s">
        <v>179</v>
      </c>
      <c r="F193" s="43" t="str">
        <f>VLOOKUP(D193,[2]SKU!A:AK,8,0)</f>
        <v>三维扫描仪-JMS1</v>
      </c>
      <c r="G193" s="43" t="s">
        <v>180</v>
      </c>
      <c r="H193" s="40" t="str">
        <f>VLOOKUP(D193,[2]SKU!A:AK,26,0)</f>
        <v>JMS1</v>
      </c>
      <c r="I193" s="22">
        <f>_xlfn.IFNA(VLOOKUP(A193,[2]库存AMZUK!A:AS,8,0),"0")</f>
        <v>64</v>
      </c>
      <c r="J193" s="23" t="str">
        <f>_xlfn.IFNA(IF(I193=0,"-",IF(VLOOKUP(A193,[2]库存AMZUK!A:BV,14,0)&gt;0,"1 Year",IF(VLOOKUP(A193,[2]库存AMZUK!A:BV,13,0)&gt;0,"≥9 Months",IF(VLOOKUP(A193,[2]库存AMZUK!A:BV,12,0)&gt;0,"≥6 Months",IF(VLOOKUP(A193,[2]库存AMZUK!A:BV,11,0)&gt;0,"≥3 Months","正常"))))),"-")</f>
        <v>正常</v>
      </c>
      <c r="K193" s="24">
        <f>_xlfn.IFNA(VLOOKUP(A191,[2]库存AMZUK!A:CI,56,0),"")</f>
        <v>0</v>
      </c>
      <c r="L193" s="10">
        <f>_xlfn.IFNA(VLOOKUP(A190,[2]库存AMZUK!A:CI,59,0),"")</f>
        <v>0</v>
      </c>
    </row>
    <row r="194" ht="15.6" spans="1:12">
      <c r="A194" s="73" t="s">
        <v>397</v>
      </c>
      <c r="B194" s="40" t="s">
        <v>398</v>
      </c>
      <c r="C194" s="41" t="s">
        <v>381</v>
      </c>
      <c r="D194" s="41">
        <v>1300100157</v>
      </c>
      <c r="E194" s="42" t="str">
        <f>VLOOKUP(D194,[2]SKU!A:AK,2,0)</f>
        <v>三维扫描仪Moose基础款(美英)</v>
      </c>
      <c r="F194" s="43" t="str">
        <f>VLOOKUP(D194,[2]SKU!A:AK,8,0)</f>
        <v>三维扫描仪-JMM3</v>
      </c>
      <c r="G194" s="43" t="s">
        <v>46</v>
      </c>
      <c r="H194" s="40" t="str">
        <f>VLOOKUP(D194,[2]SKU!A:AK,26,0)</f>
        <v>JMM3</v>
      </c>
      <c r="I194" s="22">
        <f>_xlfn.IFNA(VLOOKUP(A194,[2]库存AMZUK!A:AS,8,0),"0")</f>
        <v>33</v>
      </c>
      <c r="J194" s="23" t="str">
        <f>_xlfn.IFNA(IF(I194=0,"-",IF(VLOOKUP(A194,[2]库存AMZUK!A:BV,14,0)&gt;0,"1 Year",IF(VLOOKUP(A194,[2]库存AMZUK!A:BV,13,0)&gt;0,"≥9 Months",IF(VLOOKUP(A194,[2]库存AMZUK!A:BV,12,0)&gt;0,"≥6 Months",IF(VLOOKUP(A194,[2]库存AMZUK!A:BV,11,0)&gt;0,"≥3 Months","正常"))))),"-")</f>
        <v>正常</v>
      </c>
      <c r="K194" s="24">
        <f>_xlfn.IFNA(VLOOKUP(A192,[2]库存AMZUK!A:CI,56,0),"")</f>
        <v>0</v>
      </c>
      <c r="L194" s="10">
        <f>_xlfn.IFNA(VLOOKUP(A193,[2]库存AMZUK!A:CI,59,0),"")</f>
        <v>6</v>
      </c>
    </row>
    <row r="195" ht="15.6" spans="1:12">
      <c r="A195" s="73" t="s">
        <v>399</v>
      </c>
      <c r="B195" s="40" t="s">
        <v>400</v>
      </c>
      <c r="C195" s="41" t="s">
        <v>381</v>
      </c>
      <c r="D195" s="41">
        <v>1300100167</v>
      </c>
      <c r="E195" s="42" t="str">
        <f>VLOOKUP(D195,[2]SKU!A:AK,2,0)</f>
        <v>三维扫描仪Moose升级款(美英)</v>
      </c>
      <c r="F195" s="43" t="str">
        <f>VLOOKUP(D195,[2]SKU!A:AK,8,0)</f>
        <v>三维扫描仪-JMM3</v>
      </c>
      <c r="G195" s="43" t="s">
        <v>50</v>
      </c>
      <c r="H195" s="40" t="str">
        <f>VLOOKUP(D195,[2]SKU!A:AK,26,0)</f>
        <v>JMM3</v>
      </c>
      <c r="I195" s="22">
        <f>_xlfn.IFNA(VLOOKUP(A195,[2]库存AMZUK!A:AS,8,0),"0")</f>
        <v>32</v>
      </c>
      <c r="J195" s="23" t="str">
        <f>_xlfn.IFNA(IF(I195=0,"-",IF(VLOOKUP(A195,[2]库存AMZUK!A:BV,14,0)&gt;0,"1 Year",IF(VLOOKUP(A195,[2]库存AMZUK!A:BV,13,0)&gt;0,"≥9 Months",IF(VLOOKUP(A195,[2]库存AMZUK!A:BV,12,0)&gt;0,"≥6 Months",IF(VLOOKUP(A195,[2]库存AMZUK!A:BV,11,0)&gt;0,"≥3 Months","正常"))))),"-")</f>
        <v>正常</v>
      </c>
      <c r="K195" s="24">
        <f>_xlfn.IFNA(VLOOKUP(A193,[2]库存AMZUK!A:CI,56,0),"")</f>
        <v>0</v>
      </c>
      <c r="L195" s="10">
        <f>_xlfn.IFNA(VLOOKUP(A194,[2]库存AMZUK!A:CI,59,0),"")</f>
        <v>20</v>
      </c>
    </row>
    <row r="196" ht="21.6" spans="1:12">
      <c r="A196" s="73" t="s">
        <v>401</v>
      </c>
      <c r="B196" s="40" t="s">
        <v>402</v>
      </c>
      <c r="C196" s="41" t="s">
        <v>381</v>
      </c>
      <c r="D196" s="41">
        <v>1300100161</v>
      </c>
      <c r="E196" s="42" t="str">
        <f>VLOOKUP(D196,[2]SKU!A:AK,2,0)</f>
        <v>三维扫描仪Moose Lite基础款(美英)</v>
      </c>
      <c r="F196" s="43" t="str">
        <f>VLOOKUP(D196,[2]SKU!A:AK,8,0)</f>
        <v>三维扫描仪-JMM4</v>
      </c>
      <c r="G196" s="43" t="s">
        <v>57</v>
      </c>
      <c r="H196" s="40" t="str">
        <f>VLOOKUP(D196,[2]SKU!A:AK,26,0)</f>
        <v>JMM4</v>
      </c>
      <c r="I196" s="22">
        <f>_xlfn.IFNA(VLOOKUP(A196,[2]库存AMZUK!A:AS,8,0),"0")</f>
        <v>11</v>
      </c>
      <c r="J196" s="23" t="str">
        <f>_xlfn.IFNA(IF(I196=0,"-",IF(VLOOKUP(A196,[2]库存AMZUK!A:BV,14,0)&gt;0,"1 Year",IF(VLOOKUP(A196,[2]库存AMZUK!A:BV,13,0)&gt;0,"≥9 Months",IF(VLOOKUP(A196,[2]库存AMZUK!A:BV,12,0)&gt;0,"≥6 Months",IF(VLOOKUP(A196,[2]库存AMZUK!A:BV,11,0)&gt;0,"≥3 Months","正常"))))),"-")</f>
        <v>1 Year</v>
      </c>
      <c r="K196" s="24">
        <f>_xlfn.IFNA(VLOOKUP(A194,[2]库存AMZUK!A:CI,56,0),"")</f>
        <v>0</v>
      </c>
      <c r="L196" s="10">
        <f>_xlfn.IFNA(VLOOKUP(A194,[2]库存AMZUK!A:CI,59,0),"")</f>
        <v>20</v>
      </c>
    </row>
    <row r="197" ht="32.4" spans="1:12">
      <c r="A197" s="73" t="s">
        <v>403</v>
      </c>
      <c r="B197" s="40" t="s">
        <v>404</v>
      </c>
      <c r="C197" s="41" t="s">
        <v>381</v>
      </c>
      <c r="D197" s="41">
        <v>1300100161</v>
      </c>
      <c r="E197" s="42" t="str">
        <f>VLOOKUP(D197,[2]SKU!A:AK,2,0)</f>
        <v>三维扫描仪Moose Lite基础款(美英)</v>
      </c>
      <c r="F197" s="43" t="str">
        <f>VLOOKUP(D197,[2]SKU!A:AK,8,0)</f>
        <v>三维扫描仪-JMM4</v>
      </c>
      <c r="G197" s="43" t="s">
        <v>57</v>
      </c>
      <c r="H197" s="40" t="str">
        <f>VLOOKUP(D197,[2]SKU!A:AK,26,0)</f>
        <v>JMM4</v>
      </c>
      <c r="I197" s="22">
        <f>_xlfn.IFNA(VLOOKUP(A197,[2]库存AMZUK!A:AS,8,0),"0")</f>
        <v>2</v>
      </c>
      <c r="J197" s="23" t="str">
        <f>_xlfn.IFNA(IF(I197=0,"-",IF(VLOOKUP(A197,[2]库存AMZUK!A:BV,14,0)&gt;0,"1 Year",IF(VLOOKUP(A197,[2]库存AMZUK!A:BV,13,0)&gt;0,"≥9 Months",IF(VLOOKUP(A197,[2]库存AMZUK!A:BV,12,0)&gt;0,"≥6 Months",IF(VLOOKUP(A197,[2]库存AMZUK!A:BV,11,0)&gt;0,"≥3 Months","正常"))))),"-")</f>
        <v>≥6 Months</v>
      </c>
      <c r="K197" s="24">
        <f>_xlfn.IFNA(VLOOKUP(A195,[2]库存AMZUK!A:CI,56,0),"")</f>
        <v>0</v>
      </c>
      <c r="L197" s="10">
        <f>_xlfn.IFNA(VLOOKUP(A195,[2]库存AMZUK!A:CI,59,0),"")</f>
        <v>0</v>
      </c>
    </row>
    <row r="198" ht="32.4" spans="1:12">
      <c r="A198" s="73" t="s">
        <v>405</v>
      </c>
      <c r="B198" s="40" t="s">
        <v>406</v>
      </c>
      <c r="C198" s="41" t="s">
        <v>381</v>
      </c>
      <c r="D198" s="41">
        <v>1300100161</v>
      </c>
      <c r="E198" s="42" t="str">
        <f>VLOOKUP(D198,[2]SKU!A:AK,2,0)</f>
        <v>三维扫描仪Moose Lite基础款(美英)</v>
      </c>
      <c r="F198" s="43" t="str">
        <f>VLOOKUP(D198,[2]SKU!A:AK,8,0)</f>
        <v>三维扫描仪-JMM4</v>
      </c>
      <c r="G198" s="43" t="s">
        <v>57</v>
      </c>
      <c r="H198" s="40" t="str">
        <f>VLOOKUP(D198,[2]SKU!A:AK,26,0)</f>
        <v>JMM4</v>
      </c>
      <c r="I198" s="22">
        <f>_xlfn.IFNA(VLOOKUP(A198,[2]库存AMZUK!A:AS,8,0),"0")</f>
        <v>1</v>
      </c>
      <c r="J198" s="23" t="str">
        <f>_xlfn.IFNA(IF(I198=0,"-",IF(VLOOKUP(A198,[2]库存AMZUK!A:BV,14,0)&gt;0,"1 Year",IF(VLOOKUP(A198,[2]库存AMZUK!A:BV,13,0)&gt;0,"≥9 Months",IF(VLOOKUP(A198,[2]库存AMZUK!A:BV,12,0)&gt;0,"≥6 Months",IF(VLOOKUP(A198,[2]库存AMZUK!A:BV,11,0)&gt;0,"≥3 Months","正常"))))),"-")</f>
        <v>≥6 Months</v>
      </c>
      <c r="K198" s="24">
        <f>_xlfn.IFNA(VLOOKUP(A196,[2]库存AMZUK!A:CI,56,0),"")</f>
        <v>0</v>
      </c>
      <c r="L198" s="10">
        <f>_xlfn.IFNA(VLOOKUP(A196,[2]库存AMZUK!A:CI,59,0),"")</f>
        <v>20</v>
      </c>
    </row>
    <row r="199" ht="21.6" spans="1:12">
      <c r="A199" s="73" t="s">
        <v>407</v>
      </c>
      <c r="B199" s="40" t="s">
        <v>408</v>
      </c>
      <c r="C199" s="41" t="s">
        <v>381</v>
      </c>
      <c r="D199" s="41">
        <v>1300100233</v>
      </c>
      <c r="E199" s="42" t="s">
        <v>59</v>
      </c>
      <c r="F199" s="43" t="str">
        <f>VLOOKUP(D199,[2]SKU!A:AK,8,0)</f>
        <v>三维扫描仪-JMM4</v>
      </c>
      <c r="G199" s="43" t="s">
        <v>61</v>
      </c>
      <c r="H199" s="40" t="str">
        <f>VLOOKUP(D199,[2]SKU!A:AK,26,0)</f>
        <v>JMM4</v>
      </c>
      <c r="I199" s="22">
        <f>_xlfn.IFNA(VLOOKUP(A199,[2]库存AMZUK!A:AS,8,0),"0")</f>
        <v>38</v>
      </c>
      <c r="J199" s="23" t="str">
        <f>_xlfn.IFNA(IF(I199=0,"-",IF(VLOOKUP(A199,[2]库存AMZUK!A:BV,14,0)&gt;0,"1 Year",IF(VLOOKUP(A199,[2]库存AMZUK!A:BV,13,0)&gt;0,"≥9 Months",IF(VLOOKUP(A199,[2]库存AMZUK!A:BV,12,0)&gt;0,"≥6 Months",IF(VLOOKUP(A199,[2]库存AMZUK!A:BV,11,0)&gt;0,"≥3 Months","正常"))))),"-")</f>
        <v>正常</v>
      </c>
      <c r="K199" s="24">
        <f>_xlfn.IFNA(VLOOKUP(A197,[2]库存AMZUK!A:CI,56,0),"")</f>
        <v>0</v>
      </c>
      <c r="L199" s="10">
        <f>_xlfn.IFNA(VLOOKUP(A197,[2]库存AMZUK!A:CI,59,0),"")</f>
        <v>0</v>
      </c>
    </row>
    <row r="200" ht="32.4" spans="1:12">
      <c r="A200" s="73" t="s">
        <v>409</v>
      </c>
      <c r="B200" s="40" t="s">
        <v>410</v>
      </c>
      <c r="C200" s="41" t="s">
        <v>381</v>
      </c>
      <c r="D200" s="41">
        <v>1300100233</v>
      </c>
      <c r="E200" s="42" t="s">
        <v>59</v>
      </c>
      <c r="F200" s="43" t="str">
        <f>VLOOKUP(D200,[2]SKU!A:AK,8,0)</f>
        <v>三维扫描仪-JMM4</v>
      </c>
      <c r="G200" s="43" t="s">
        <v>61</v>
      </c>
      <c r="H200" s="40" t="str">
        <f>VLOOKUP(D200,[2]SKU!A:AK,26,0)</f>
        <v>JMM4</v>
      </c>
      <c r="I200" s="22">
        <f>_xlfn.IFNA(VLOOKUP(A200,[2]库存AMZUK!A:AS,8,0),"0")</f>
        <v>1</v>
      </c>
      <c r="J200" s="23" t="str">
        <f>_xlfn.IFNA(IF(I200=0,"-",IF(VLOOKUP(A200,[2]库存AMZUK!A:BV,14,0)&gt;0,"1 Year",IF(VLOOKUP(A200,[2]库存AMZUK!A:BV,13,0)&gt;0,"≥9 Months",IF(VLOOKUP(A200,[2]库存AMZUK!A:BV,12,0)&gt;0,"≥6 Months",IF(VLOOKUP(A200,[2]库存AMZUK!A:BV,11,0)&gt;0,"≥3 Months","正常"))))),"-")</f>
        <v>≥3 Months</v>
      </c>
      <c r="K200" s="24">
        <f>_xlfn.IFNA(VLOOKUP(A198,[2]库存AMZUK!A:CI,56,0),"")</f>
        <v>0</v>
      </c>
      <c r="L200" s="10">
        <f>_xlfn.IFNA(VLOOKUP(A198,[2]库存AMZUK!A:CI,59,0),"")</f>
        <v>0</v>
      </c>
    </row>
    <row r="201" ht="32.4" spans="1:12">
      <c r="A201" s="73" t="s">
        <v>411</v>
      </c>
      <c r="B201" s="40" t="s">
        <v>412</v>
      </c>
      <c r="C201" s="41" t="s">
        <v>381</v>
      </c>
      <c r="D201" s="41">
        <v>1300100171</v>
      </c>
      <c r="E201" s="42" t="str">
        <f>VLOOKUP(D201,[2]SKU!A:AK,2,0)</f>
        <v>三维扫描仪Moose Lite升级款(美英)</v>
      </c>
      <c r="F201" s="43" t="str">
        <f>VLOOKUP(D201,[2]SKU!A:AK,8,0)</f>
        <v>三维扫描仪-JMM4</v>
      </c>
      <c r="G201" s="43" t="s">
        <v>61</v>
      </c>
      <c r="H201" s="40" t="str">
        <f>VLOOKUP(D201,[2]SKU!A:AK,26,0)</f>
        <v>JMM4</v>
      </c>
      <c r="I201" s="22">
        <f>_xlfn.IFNA(VLOOKUP(A201,[2]库存AMZUK!A:AS,8,0),"0")</f>
        <v>1</v>
      </c>
      <c r="J201" s="23" t="str">
        <f>_xlfn.IFNA(IF(I201=0,"-",IF(VLOOKUP(A201,[2]库存AMZUK!A:BV,14,0)&gt;0,"1 Year",IF(VLOOKUP(A201,[2]库存AMZUK!A:BV,13,0)&gt;0,"≥9 Months",IF(VLOOKUP(A201,[2]库存AMZUK!A:BV,12,0)&gt;0,"≥6 Months",IF(VLOOKUP(A201,[2]库存AMZUK!A:BV,11,0)&gt;0,"≥3 Months","正常"))))),"-")</f>
        <v>≥3 Months</v>
      </c>
      <c r="K201" s="24">
        <f>_xlfn.IFNA(VLOOKUP(A199,[2]库存AMZUK!A:CI,56,0),"")</f>
        <v>0</v>
      </c>
      <c r="L201" s="10">
        <f>_xlfn.IFNA(VLOOKUP(A198,[2]库存AMZUK!A:CI,59,0),"")</f>
        <v>0</v>
      </c>
    </row>
    <row r="202" ht="15.6" spans="1:12">
      <c r="A202" s="73" t="s">
        <v>375</v>
      </c>
      <c r="B202" s="40" t="s">
        <v>413</v>
      </c>
      <c r="C202" s="41" t="s">
        <v>381</v>
      </c>
      <c r="D202" s="41">
        <v>1300100118</v>
      </c>
      <c r="E202" s="42" t="str">
        <f>VLOOKUP(D202,[2]SKU!A:AK,2,0)</f>
        <v>Seal/Seal lite转台套餐</v>
      </c>
      <c r="F202" s="43" t="str">
        <f>VLOOKUP(D202,[2]SKU!A:AK,8,0)</f>
        <v>三维扫描仪备品备件</v>
      </c>
      <c r="G202" s="43" t="s">
        <v>29</v>
      </c>
      <c r="H202" s="40" t="str">
        <f>VLOOKUP(D202,[2]SKU!A:AK,26,0)</f>
        <v>-</v>
      </c>
      <c r="I202" s="22">
        <f>_xlfn.IFNA(VLOOKUP(A202,[2]库存AMZUK!A:AS,8,0),"0")</f>
        <v>22</v>
      </c>
      <c r="J202" s="23" t="str">
        <f>_xlfn.IFNA(IF(I202=0,"-",IF(VLOOKUP(A202,[2]库存AMZUK!A:BV,14,0)&gt;0,"1 Year",IF(VLOOKUP(A202,[2]库存AMZUK!A:BV,13,0)&gt;0,"≥9 Months",IF(VLOOKUP(A202,[2]库存AMZUK!A:BV,12,0)&gt;0,"≥6 Months",IF(VLOOKUP(A202,[2]库存AMZUK!A:BV,11,0)&gt;0,"≥3 Months","正常"))))),"-")</f>
        <v>正常</v>
      </c>
      <c r="K202" s="24">
        <f>_xlfn.IFNA(VLOOKUP(A200,[2]库存AMZUK!A:CI,56,0),"")</f>
        <v>0</v>
      </c>
      <c r="L202" s="10">
        <f>_xlfn.IFNA(VLOOKUP(A199,[2]库存AMZUK!A:CI,59,0),"")</f>
        <v>0</v>
      </c>
    </row>
    <row r="203" ht="15.6" spans="1:12">
      <c r="A203" s="73" t="s">
        <v>377</v>
      </c>
      <c r="B203" s="40" t="s">
        <v>414</v>
      </c>
      <c r="C203" s="41" t="s">
        <v>381</v>
      </c>
      <c r="D203" s="41">
        <v>1300100082</v>
      </c>
      <c r="E203" s="42" t="str">
        <f>VLOOKUP(D203,[2]SKU!A:AK,2,0)</f>
        <v>三维扫描仪智能手柄</v>
      </c>
      <c r="F203" s="43" t="str">
        <f>VLOOKUP(D203,[2]SKU!A:AK,8,0)</f>
        <v>三维扫描仪备品备件</v>
      </c>
      <c r="G203" s="43" t="s">
        <v>35</v>
      </c>
      <c r="H203" s="40" t="str">
        <f>VLOOKUP(D203,[2]SKU!A:AK,26,0)</f>
        <v>JMB1</v>
      </c>
      <c r="I203" s="22">
        <f>_xlfn.IFNA(VLOOKUP(A203,[2]库存AMZUK!A:AS,8,0),"0")</f>
        <v>16</v>
      </c>
      <c r="J203" s="23" t="str">
        <f>_xlfn.IFNA(IF(I203=0,"-",IF(VLOOKUP(A203,[2]库存AMZUK!A:BV,14,0)&gt;0,"1 Year",IF(VLOOKUP(A203,[2]库存AMZUK!A:BV,13,0)&gt;0,"≥9 Months",IF(VLOOKUP(A203,[2]库存AMZUK!A:BV,12,0)&gt;0,"≥6 Months",IF(VLOOKUP(A203,[2]库存AMZUK!A:BV,11,0)&gt;0,"≥3 Months","正常"))))),"-")</f>
        <v>正常</v>
      </c>
      <c r="K203" s="24">
        <f>_xlfn.IFNA(VLOOKUP(A201,[2]库存AMZUK!A:CI,56,0),"")</f>
        <v>0</v>
      </c>
      <c r="L203" s="10">
        <f>_xlfn.IFNA(VLOOKUP(A201,[2]库存AMZUK!A:CI,59,0),"")</f>
        <v>0</v>
      </c>
    </row>
    <row r="204" ht="15.6" spans="1:12">
      <c r="A204" s="61" t="s">
        <v>415</v>
      </c>
      <c r="B204" s="55" t="s">
        <v>306</v>
      </c>
      <c r="C204" s="56" t="s">
        <v>416</v>
      </c>
      <c r="D204" s="56">
        <v>1300100229</v>
      </c>
      <c r="E204" s="66" t="s">
        <v>45</v>
      </c>
      <c r="F204" s="83" t="str">
        <f>VLOOKUP(D204,[2]SKU!A:AK,8,0)</f>
        <v>三维扫描仪-JMM3</v>
      </c>
      <c r="G204" s="83" t="s">
        <v>46</v>
      </c>
      <c r="H204" s="55" t="str">
        <f>VLOOKUP(D204,[2]SKU!A:AK,26,0)</f>
        <v>JMM3</v>
      </c>
      <c r="I204" s="22">
        <f>_xlfn.IFNA(VLOOKUP(A204,[2]库存AMZ!A:CH,8,0),"0")</f>
        <v>17</v>
      </c>
      <c r="J204" s="23" t="str">
        <f>_xlfn.IFNA(IF(I204=0,"-",IF(VLOOKUP(A204,[2]库存AMZ!A:CH,14,0)&gt;0,"≥1 Year",IF(VLOOKUP(A204,[2]库存AMZ!A:CH,13,0)&gt;0,"≥9 Months",IF(VLOOKUP(A204,[2]库存AMZ!A:CH,12,0)&gt;0,"≥6 Months",IF(VLOOKUP(A204,[2]库存AMZ!A:CH,11,0)&gt;0,"≥3 Months","正常"))))),"-")</f>
        <v>正常</v>
      </c>
      <c r="K204" s="24">
        <f>_xlfn.IFNA(VLOOKUP(A202,[2]库存AMZUK!A:CI,56,0),"")</f>
        <v>0</v>
      </c>
      <c r="L204" s="10">
        <f>_xlfn.IFNA(VLOOKUP(A204,[2]库存AMZ!A:CH,59,0),"")</f>
        <v>0</v>
      </c>
    </row>
    <row r="205" ht="21.6" spans="1:12">
      <c r="A205" s="61" t="s">
        <v>417</v>
      </c>
      <c r="B205" s="55" t="s">
        <v>297</v>
      </c>
      <c r="C205" s="56" t="s">
        <v>416</v>
      </c>
      <c r="D205" s="56">
        <v>1300100232</v>
      </c>
      <c r="E205" s="66" t="s">
        <v>56</v>
      </c>
      <c r="F205" s="83" t="str">
        <f>VLOOKUP(D205,[2]SKU!A:AK,8,0)</f>
        <v>三维扫描仪-JMM4</v>
      </c>
      <c r="G205" s="83" t="s">
        <v>57</v>
      </c>
      <c r="H205" s="55" t="str">
        <f>VLOOKUP(D205,[2]SKU!A:AK,26,0)</f>
        <v>JMM4</v>
      </c>
      <c r="I205" s="22">
        <f>_xlfn.IFNA(VLOOKUP(A205,[2]库存AMZ!A:CH,8,0),"0")</f>
        <v>13</v>
      </c>
      <c r="J205" s="23" t="str">
        <f>_xlfn.IFNA(IF(I205=0,"-",IF(VLOOKUP(A205,[2]库存AMZ!A:CH,14,0)&gt;0,"≥1 Year",IF(VLOOKUP(A205,[2]库存AMZ!A:CH,13,0)&gt;0,"≥9 Months",IF(VLOOKUP(A205,[2]库存AMZ!A:CH,12,0)&gt;0,"≥6 Months",IF(VLOOKUP(A205,[2]库存AMZ!A:CH,11,0)&gt;0,"≥3 Months","正常"))))),"-")</f>
        <v>正常</v>
      </c>
      <c r="K205" s="24">
        <f>_xlfn.IFNA(VLOOKUP(A203,[2]库存AMZUK!A:CI,56,0),"")</f>
        <v>0</v>
      </c>
      <c r="L205" s="10">
        <f>_xlfn.IFNA(VLOOKUP(A205,[2]库存AMZ!A:CH,59,0),"")</f>
        <v>0</v>
      </c>
    </row>
    <row r="206" ht="15.6" spans="1:12">
      <c r="A206" s="61" t="s">
        <v>418</v>
      </c>
      <c r="B206" s="55" t="s">
        <v>319</v>
      </c>
      <c r="C206" s="56" t="s">
        <v>416</v>
      </c>
      <c r="D206" s="56">
        <v>1300100222</v>
      </c>
      <c r="E206" s="66" t="s">
        <v>23</v>
      </c>
      <c r="F206" s="83" t="s">
        <v>24</v>
      </c>
      <c r="G206" s="83" t="s">
        <v>25</v>
      </c>
      <c r="H206" s="55" t="str">
        <f>VLOOKUP(D206,[2]SKU!A:AK,26,0)</f>
        <v>JMS1</v>
      </c>
      <c r="I206" s="22">
        <f>_xlfn.IFNA(VLOOKUP(A206,[2]库存AMZ!A:CH,8,0),"0")</f>
        <v>13</v>
      </c>
      <c r="J206" s="23" t="str">
        <f>_xlfn.IFNA(IF(I206=0,"-",IF(VLOOKUP(A206,[2]库存AMZ!A:CH,14,0)&gt;0,"≥1 Year",IF(VLOOKUP(A206,[2]库存AMZ!A:CH,13,0)&gt;0,"≥9 Months",IF(VLOOKUP(A206,[2]库存AMZ!A:CH,12,0)&gt;0,"≥6 Months",IF(VLOOKUP(A206,[2]库存AMZ!A:CH,11,0)&gt;0,"≥3 Months","正常"))))),"-")</f>
        <v>正常</v>
      </c>
      <c r="K206" s="24" t="str">
        <f>_xlfn.IFNA(VLOOKUP(A204,[2]库存AMZUK!A:CI,56,0),"")</f>
        <v/>
      </c>
      <c r="L206" s="10">
        <f>_xlfn.IFNA(VLOOKUP(A206,[2]库存AMZ!A:CH,59,0),"")</f>
        <v>0</v>
      </c>
    </row>
    <row r="207" ht="21.6" spans="1:12">
      <c r="A207" s="61" t="s">
        <v>419</v>
      </c>
      <c r="B207" s="55" t="s">
        <v>321</v>
      </c>
      <c r="C207" s="56" t="s">
        <v>416</v>
      </c>
      <c r="D207" s="56">
        <v>1300100223</v>
      </c>
      <c r="E207" s="66" t="s">
        <v>179</v>
      </c>
      <c r="F207" s="83" t="str">
        <f>VLOOKUP(D207,[2]SKU!A:AK,8,0)</f>
        <v>三维扫描仪-JMS1</v>
      </c>
      <c r="G207" s="83" t="s">
        <v>180</v>
      </c>
      <c r="H207" s="55" t="str">
        <f>VLOOKUP(D207,[2]SKU!A:AK,26,0)</f>
        <v>JMS1</v>
      </c>
      <c r="I207" s="22">
        <f>_xlfn.IFNA(VLOOKUP(A207,[2]库存AMZ!A:CH,8,0),"0")</f>
        <v>10</v>
      </c>
      <c r="J207" s="23" t="str">
        <f>_xlfn.IFNA(IF(I207=0,"-",IF(VLOOKUP(A207,[2]库存AMZ!A:CH,14,0)&gt;0,"≥1 Year",IF(VLOOKUP(A207,[2]库存AMZ!A:CH,13,0)&gt;0,"≥9 Months",IF(VLOOKUP(A207,[2]库存AMZ!A:CH,12,0)&gt;0,"≥6 Months",IF(VLOOKUP(A207,[2]库存AMZ!A:CH,11,0)&gt;0,"≥3 Months","正常"))))),"-")</f>
        <v>正常</v>
      </c>
      <c r="K207" s="24" t="str">
        <f>_xlfn.IFNA(VLOOKUP(A205,[2]库存AMZUK!A:CI,56,0),"")</f>
        <v/>
      </c>
      <c r="L207" s="10">
        <f>_xlfn.IFNA(VLOOKUP(A207,[2]库存AMZ!A:CH,59,0),"")</f>
        <v>0</v>
      </c>
    </row>
    <row r="208" ht="15.6" spans="1:12">
      <c r="A208" s="61" t="s">
        <v>420</v>
      </c>
      <c r="B208" s="55" t="s">
        <v>345</v>
      </c>
      <c r="C208" s="56" t="s">
        <v>416</v>
      </c>
      <c r="D208" s="56">
        <v>1300100240</v>
      </c>
      <c r="E208" s="66" t="s">
        <v>84</v>
      </c>
      <c r="F208" s="83" t="s">
        <v>80</v>
      </c>
      <c r="G208" s="83" t="s">
        <v>85</v>
      </c>
      <c r="H208" s="55" t="s">
        <v>82</v>
      </c>
      <c r="I208" s="22">
        <f>_xlfn.IFNA(VLOOKUP(A208,[2]库存AMZ!A:CH,8,0),"0")</f>
        <v>10</v>
      </c>
      <c r="J208" s="23" t="str">
        <f>_xlfn.IFNA(IF(I208=0,"-",IF(VLOOKUP(A208,[2]库存AMZ!A:CH,14,0)&gt;0,"≥1 Year",IF(VLOOKUP(A208,[2]库存AMZ!A:CH,13,0)&gt;0,"≥9 Months",IF(VLOOKUP(A208,[2]库存AMZ!A:CH,12,0)&gt;0,"≥6 Months",IF(VLOOKUP(A208,[2]库存AMZ!A:CH,11,0)&gt;0,"≥3 Months","正常"))))),"-")</f>
        <v>正常</v>
      </c>
      <c r="K208" s="24" t="str">
        <f>_xlfn.IFNA(VLOOKUP(A206,[2]库存AMZUK!A:CI,56,0),"")</f>
        <v/>
      </c>
      <c r="L208" s="10">
        <f>_xlfn.IFNA(VLOOKUP(A208,[2]库存AMZ!A:CH,59,0),"")</f>
        <v>0</v>
      </c>
    </row>
    <row r="209" ht="15.6" spans="1:12">
      <c r="A209" s="61" t="s">
        <v>421</v>
      </c>
      <c r="B209" s="55" t="s">
        <v>323</v>
      </c>
      <c r="C209" s="56" t="s">
        <v>416</v>
      </c>
      <c r="D209" s="56">
        <v>1300100118</v>
      </c>
      <c r="E209" s="66" t="str">
        <f>VLOOKUP(D209,[2]SKU!A:AK,2,0)</f>
        <v>Seal/Seal lite转台套餐</v>
      </c>
      <c r="F209" s="83" t="s">
        <v>28</v>
      </c>
      <c r="G209" s="83" t="s">
        <v>29</v>
      </c>
      <c r="H209" s="55" t="str">
        <f>VLOOKUP(D209,[2]SKU!A:AK,26,0)</f>
        <v>-</v>
      </c>
      <c r="I209" s="22">
        <f>_xlfn.IFNA(VLOOKUP(A209,[2]库存AMZ!A:CH,8,0),"0")</f>
        <v>17</v>
      </c>
      <c r="J209" s="23" t="str">
        <f>_xlfn.IFNA(IF(I209=0,"-",IF(VLOOKUP(A209,[2]库存AMZ!A:CH,14,0)&gt;0,"≥1 Year",IF(VLOOKUP(A209,[2]库存AMZ!A:CH,13,0)&gt;0,"≥9 Months",IF(VLOOKUP(A209,[2]库存AMZ!A:CH,12,0)&gt;0,"≥6 Months",IF(VLOOKUP(A209,[2]库存AMZ!A:CH,11,0)&gt;0,"≥3 Months","正常"))))),"-")</f>
        <v>正常</v>
      </c>
      <c r="K209" s="24" t="str">
        <f>_xlfn.IFNA(VLOOKUP(A207,[2]库存AMZUK!A:CI,56,0),"")</f>
        <v/>
      </c>
      <c r="L209" s="10">
        <f>_xlfn.IFNA(VLOOKUP(A209,[2]库存AMZ!A:CH,59,0),"")</f>
        <v>0</v>
      </c>
    </row>
    <row r="210" ht="15.6" spans="1:12">
      <c r="A210" s="61" t="s">
        <v>422</v>
      </c>
      <c r="B210" s="55" t="s">
        <v>325</v>
      </c>
      <c r="C210" s="56" t="s">
        <v>416</v>
      </c>
      <c r="D210" s="56">
        <v>1200100064</v>
      </c>
      <c r="E210" s="66" t="str">
        <f>VLOOKUP(D210,[2]SKU!A:AK,2,0)</f>
        <v>Seal三脚架套装</v>
      </c>
      <c r="F210" s="83" t="str">
        <f>VLOOKUP(D210,[2]SKU!A:AK,8,0)</f>
        <v>三维扫描仪备品备件</v>
      </c>
      <c r="G210" s="83" t="s">
        <v>32</v>
      </c>
      <c r="H210" s="55" t="str">
        <f>VLOOKUP(D210,[2]SKU!A:AK,26,0)</f>
        <v>-</v>
      </c>
      <c r="I210" s="22">
        <f>_xlfn.IFNA(VLOOKUP(A210,[2]库存AMZ!A:CH,8,0),"0")</f>
        <v>15</v>
      </c>
      <c r="J210" s="23" t="str">
        <f>_xlfn.IFNA(IF(I210=0,"-",IF(VLOOKUP(A210,[2]库存AMZ!A:CH,14,0)&gt;0,"≥1 Year",IF(VLOOKUP(A210,[2]库存AMZ!A:CH,13,0)&gt;0,"≥9 Months",IF(VLOOKUP(A210,[2]库存AMZ!A:CH,12,0)&gt;0,"≥6 Months",IF(VLOOKUP(A210,[2]库存AMZ!A:CH,11,0)&gt;0,"≥3 Months","正常"))))),"-")</f>
        <v>正常</v>
      </c>
      <c r="K210" s="24" t="str">
        <f>_xlfn.IFNA(VLOOKUP(A208,[2]库存AMZUK!A:CI,56,0),"")</f>
        <v/>
      </c>
      <c r="L210" s="10">
        <f>_xlfn.IFNA(VLOOKUP(A210,[2]库存AMZ!A:CH,59,0),"")</f>
        <v>0</v>
      </c>
    </row>
    <row r="211" ht="15.6" spans="1:12">
      <c r="A211" s="61" t="s">
        <v>423</v>
      </c>
      <c r="B211" s="55"/>
      <c r="C211" s="56" t="s">
        <v>416</v>
      </c>
      <c r="D211" s="65">
        <v>1300100260</v>
      </c>
      <c r="E211" s="66" t="s">
        <v>114</v>
      </c>
      <c r="F211" s="60" t="s">
        <v>115</v>
      </c>
      <c r="G211" s="60" t="s">
        <v>116</v>
      </c>
      <c r="H211" s="60" t="s">
        <v>117</v>
      </c>
      <c r="I211" s="22">
        <f>_xlfn.IFNA(VLOOKUP(A211,[2]库存AMZ!A:CH,8,0),"0")</f>
        <v>0</v>
      </c>
      <c r="J211" s="23" t="str">
        <f>_xlfn.IFNA(IF(I211=0,"-",IF(VLOOKUP(A211,[2]库存AMZ!A:CH,14,0)&gt;0,"≥1 Year",IF(VLOOKUP(A211,[2]库存AMZ!A:CH,13,0)&gt;0,"≥9 Months",IF(VLOOKUP(A211,[2]库存AMZ!A:CH,12,0)&gt;0,"≥6 Months",IF(VLOOKUP(A211,[2]库存AMZ!A:CH,11,0)&gt;0,"≥3 Months","正常"))))),"-")</f>
        <v>-</v>
      </c>
      <c r="K211" s="47">
        <v>30</v>
      </c>
      <c r="L211" s="10">
        <f>_xlfn.IFNA(VLOOKUP(A211,[2]库存AMZ!A:CH,59,0),"")</f>
        <v>0</v>
      </c>
    </row>
  </sheetData>
  <conditionalFormatting sqref="B1">
    <cfRule type="duplicateValues" dxfId="0" priority="52"/>
  </conditionalFormatting>
  <conditionalFormatting sqref="K1:L1">
    <cfRule type="containsText" dxfId="1" priority="76" operator="between" text="1 Year">
      <formula>NOT(ISERROR(SEARCH("1 Year",K1)))</formula>
    </cfRule>
    <cfRule type="cellIs" dxfId="2" priority="75" operator="equal">
      <formula>"≥6 Months"</formula>
    </cfRule>
    <cfRule type="cellIs" dxfId="3" priority="74" operator="equal">
      <formula>"≥9 Months"</formula>
    </cfRule>
  </conditionalFormatting>
  <conditionalFormatting sqref="A33">
    <cfRule type="duplicateValues" dxfId="0" priority="53"/>
  </conditionalFormatting>
  <conditionalFormatting sqref="A34">
    <cfRule type="duplicateValues" dxfId="0" priority="58"/>
  </conditionalFormatting>
  <conditionalFormatting sqref="A35">
    <cfRule type="duplicateValues" dxfId="0" priority="35"/>
  </conditionalFormatting>
  <conditionalFormatting sqref="A36">
    <cfRule type="duplicateValues" dxfId="0" priority="34"/>
  </conditionalFormatting>
  <conditionalFormatting sqref="A37">
    <cfRule type="duplicateValues" dxfId="0" priority="11"/>
  </conditionalFormatting>
  <conditionalFormatting sqref="I37">
    <cfRule type="cellIs" dxfId="3" priority="12" operator="equal">
      <formula>0</formula>
    </cfRule>
  </conditionalFormatting>
  <conditionalFormatting sqref="A38">
    <cfRule type="duplicateValues" dxfId="0" priority="9"/>
  </conditionalFormatting>
  <conditionalFormatting sqref="I38">
    <cfRule type="cellIs" dxfId="3" priority="10" operator="equal">
      <formula>0</formula>
    </cfRule>
  </conditionalFormatting>
  <conditionalFormatting sqref="A39">
    <cfRule type="duplicateValues" dxfId="0" priority="2"/>
  </conditionalFormatting>
  <conditionalFormatting sqref="I39">
    <cfRule type="cellIs" dxfId="3" priority="3" operator="equal">
      <formula>0</formula>
    </cfRule>
  </conditionalFormatting>
  <conditionalFormatting sqref="A41">
    <cfRule type="duplicateValues" dxfId="0" priority="61"/>
  </conditionalFormatting>
  <conditionalFormatting sqref="I41">
    <cfRule type="cellIs" dxfId="3" priority="60" operator="equal">
      <formula>0</formula>
    </cfRule>
  </conditionalFormatting>
  <conditionalFormatting sqref="A46">
    <cfRule type="duplicateValues" dxfId="0" priority="81"/>
  </conditionalFormatting>
  <conditionalFormatting sqref="A47">
    <cfRule type="duplicateValues" dxfId="0" priority="118"/>
  </conditionalFormatting>
  <conditionalFormatting sqref="A53">
    <cfRule type="duplicateValues" dxfId="0" priority="14"/>
  </conditionalFormatting>
  <conditionalFormatting sqref="I53">
    <cfRule type="cellIs" dxfId="3" priority="13" operator="equal">
      <formula>0</formula>
    </cfRule>
  </conditionalFormatting>
  <conditionalFormatting sqref="A54">
    <cfRule type="duplicateValues" dxfId="0" priority="116"/>
  </conditionalFormatting>
  <conditionalFormatting sqref="A55">
    <cfRule type="duplicateValues" dxfId="0" priority="62"/>
  </conditionalFormatting>
  <conditionalFormatting sqref="A56">
    <cfRule type="duplicateValues" dxfId="0" priority="117"/>
  </conditionalFormatting>
  <conditionalFormatting sqref="A59">
    <cfRule type="duplicateValues" dxfId="0" priority="124"/>
  </conditionalFormatting>
  <conditionalFormatting sqref="A60">
    <cfRule type="duplicateValues" dxfId="0" priority="123"/>
  </conditionalFormatting>
  <conditionalFormatting sqref="A61">
    <cfRule type="duplicateValues" dxfId="0" priority="122"/>
  </conditionalFormatting>
  <conditionalFormatting sqref="A62">
    <cfRule type="duplicateValues" dxfId="0" priority="121"/>
  </conditionalFormatting>
  <conditionalFormatting sqref="A63">
    <cfRule type="duplicateValues" dxfId="0" priority="120"/>
  </conditionalFormatting>
  <conditionalFormatting sqref="A64">
    <cfRule type="duplicateValues" dxfId="0" priority="119"/>
  </conditionalFormatting>
  <conditionalFormatting sqref="A65">
    <cfRule type="duplicateValues" dxfId="0" priority="115"/>
  </conditionalFormatting>
  <conditionalFormatting sqref="A66">
    <cfRule type="duplicateValues" dxfId="0" priority="54"/>
  </conditionalFormatting>
  <conditionalFormatting sqref="A67">
    <cfRule type="duplicateValues" dxfId="0" priority="68"/>
  </conditionalFormatting>
  <conditionalFormatting sqref="H67">
    <cfRule type="duplicateValues" dxfId="0" priority="67"/>
  </conditionalFormatting>
  <conditionalFormatting sqref="A73">
    <cfRule type="duplicateValues" dxfId="0" priority="66"/>
  </conditionalFormatting>
  <conditionalFormatting sqref="H73">
    <cfRule type="duplicateValues" dxfId="0" priority="65"/>
  </conditionalFormatting>
  <conditionalFormatting sqref="A74">
    <cfRule type="duplicateValues" dxfId="0" priority="70"/>
  </conditionalFormatting>
  <conditionalFormatting sqref="H74">
    <cfRule type="duplicateValues" dxfId="0" priority="69"/>
  </conditionalFormatting>
  <conditionalFormatting sqref="H75">
    <cfRule type="duplicateValues" dxfId="0" priority="55"/>
  </conditionalFormatting>
  <conditionalFormatting sqref="A116">
    <cfRule type="duplicateValues" dxfId="0" priority="103"/>
  </conditionalFormatting>
  <conditionalFormatting sqref="A117">
    <cfRule type="duplicateValues" dxfId="0" priority="31"/>
  </conditionalFormatting>
  <conditionalFormatting sqref="A118">
    <cfRule type="duplicateValues" dxfId="0" priority="1"/>
  </conditionalFormatting>
  <conditionalFormatting sqref="A119">
    <cfRule type="duplicateValues" dxfId="0" priority="51"/>
  </conditionalFormatting>
  <conditionalFormatting sqref="A120">
    <cfRule type="duplicateValues" dxfId="0" priority="15"/>
  </conditionalFormatting>
  <conditionalFormatting sqref="A121">
    <cfRule type="duplicateValues" dxfId="0" priority="8"/>
  </conditionalFormatting>
  <conditionalFormatting sqref="A122">
    <cfRule type="duplicateValues" dxfId="0" priority="101"/>
  </conditionalFormatting>
  <conditionalFormatting sqref="A123">
    <cfRule type="duplicateValues" dxfId="0" priority="33"/>
  </conditionalFormatting>
  <conditionalFormatting sqref="A124">
    <cfRule type="duplicateValues" dxfId="0" priority="100"/>
  </conditionalFormatting>
  <conditionalFormatting sqref="A125">
    <cfRule type="duplicateValues" dxfId="0" priority="97"/>
  </conditionalFormatting>
  <conditionalFormatting sqref="A126">
    <cfRule type="duplicateValues" dxfId="0" priority="99"/>
  </conditionalFormatting>
  <conditionalFormatting sqref="A127">
    <cfRule type="duplicateValues" dxfId="0" priority="6"/>
  </conditionalFormatting>
  <conditionalFormatting sqref="A128">
    <cfRule type="duplicateValues" dxfId="0" priority="114"/>
  </conditionalFormatting>
  <conditionalFormatting sqref="A129">
    <cfRule type="duplicateValues" dxfId="0" priority="32"/>
  </conditionalFormatting>
  <conditionalFormatting sqref="A130">
    <cfRule type="duplicateValues" dxfId="0" priority="87"/>
  </conditionalFormatting>
  <conditionalFormatting sqref="A131">
    <cfRule type="duplicateValues" dxfId="0" priority="113"/>
  </conditionalFormatting>
  <conditionalFormatting sqref="A133">
    <cfRule type="duplicateValues" dxfId="0" priority="106"/>
  </conditionalFormatting>
  <conditionalFormatting sqref="A134">
    <cfRule type="duplicateValues" dxfId="0" priority="107"/>
  </conditionalFormatting>
  <conditionalFormatting sqref="A135">
    <cfRule type="duplicateValues" dxfId="0" priority="27"/>
  </conditionalFormatting>
  <conditionalFormatting sqref="J135">
    <cfRule type="cellIs" dxfId="3" priority="18" operator="equal">
      <formula>"≥9 Months"</formula>
    </cfRule>
    <cfRule type="cellIs" dxfId="2" priority="21" operator="equal">
      <formula>"≥6 Months"</formula>
    </cfRule>
    <cfRule type="containsText" dxfId="1" priority="24" operator="between" text="1 Year">
      <formula>NOT(ISERROR(SEARCH("1 Year",J135)))</formula>
    </cfRule>
  </conditionalFormatting>
  <conditionalFormatting sqref="A136">
    <cfRule type="duplicateValues" dxfId="0" priority="26"/>
  </conditionalFormatting>
  <conditionalFormatting sqref="J136">
    <cfRule type="cellIs" dxfId="3" priority="17" operator="equal">
      <formula>"≥9 Months"</formula>
    </cfRule>
    <cfRule type="cellIs" dxfId="2" priority="20" operator="equal">
      <formula>"≥6 Months"</formula>
    </cfRule>
    <cfRule type="containsText" dxfId="1" priority="23" operator="between" text="1 Year">
      <formula>NOT(ISERROR(SEARCH("1 Year",J136)))</formula>
    </cfRule>
  </conditionalFormatting>
  <conditionalFormatting sqref="A137">
    <cfRule type="duplicateValues" dxfId="0" priority="25"/>
  </conditionalFormatting>
  <conditionalFormatting sqref="J137">
    <cfRule type="cellIs" dxfId="3" priority="16" operator="equal">
      <formula>"≥9 Months"</formula>
    </cfRule>
    <cfRule type="cellIs" dxfId="2" priority="19" operator="equal">
      <formula>"≥6 Months"</formula>
    </cfRule>
    <cfRule type="containsText" dxfId="1" priority="22" operator="between" text="1 Year">
      <formula>NOT(ISERROR(SEARCH("1 Year",J137)))</formula>
    </cfRule>
  </conditionalFormatting>
  <conditionalFormatting sqref="A173">
    <cfRule type="duplicateValues" dxfId="0" priority="127"/>
  </conditionalFormatting>
  <conditionalFormatting sqref="A182">
    <cfRule type="duplicateValues" dxfId="0" priority="82"/>
  </conditionalFormatting>
  <conditionalFormatting sqref="A183">
    <cfRule type="duplicateValues" dxfId="0" priority="132"/>
  </conditionalFormatting>
  <conditionalFormatting sqref="A184">
    <cfRule type="duplicateValues" dxfId="0" priority="126"/>
  </conditionalFormatting>
  <conditionalFormatting sqref="A185">
    <cfRule type="duplicateValues" dxfId="0" priority="131"/>
  </conditionalFormatting>
  <conditionalFormatting sqref="A186">
    <cfRule type="duplicateValues" dxfId="0" priority="28"/>
  </conditionalFormatting>
  <conditionalFormatting sqref="A187">
    <cfRule type="duplicateValues" dxfId="0" priority="130"/>
  </conditionalFormatting>
  <conditionalFormatting sqref="A188">
    <cfRule type="duplicateValues" dxfId="0" priority="129"/>
  </conditionalFormatting>
  <conditionalFormatting sqref="A189">
    <cfRule type="duplicateValues" dxfId="0" priority="128"/>
  </conditionalFormatting>
  <conditionalFormatting sqref="A190">
    <cfRule type="duplicateValues" dxfId="0" priority="96"/>
  </conditionalFormatting>
  <conditionalFormatting sqref="A191">
    <cfRule type="duplicateValues" dxfId="0" priority="91"/>
  </conditionalFormatting>
  <conditionalFormatting sqref="A192">
    <cfRule type="duplicateValues" dxfId="0" priority="36"/>
  </conditionalFormatting>
  <conditionalFormatting sqref="J192">
    <cfRule type="cellIs" dxfId="3" priority="37" operator="equal">
      <formula>"≥9 Months"</formula>
    </cfRule>
    <cfRule type="cellIs" dxfId="2" priority="38" operator="equal">
      <formula>"≥6 Months"</formula>
    </cfRule>
    <cfRule type="containsText" dxfId="1" priority="39" operator="between" text="1 Year">
      <formula>NOT(ISERROR(SEARCH("1 Year",J192)))</formula>
    </cfRule>
  </conditionalFormatting>
  <conditionalFormatting sqref="A193">
    <cfRule type="duplicateValues" dxfId="0" priority="94"/>
  </conditionalFormatting>
  <conditionalFormatting sqref="A194">
    <cfRule type="duplicateValues" dxfId="0" priority="90"/>
  </conditionalFormatting>
  <conditionalFormatting sqref="A195">
    <cfRule type="duplicateValues" dxfId="0" priority="93"/>
  </conditionalFormatting>
  <conditionalFormatting sqref="A196">
    <cfRule type="duplicateValues" dxfId="0" priority="95"/>
  </conditionalFormatting>
  <conditionalFormatting sqref="A197">
    <cfRule type="duplicateValues" dxfId="0" priority="89"/>
  </conditionalFormatting>
  <conditionalFormatting sqref="A198">
    <cfRule type="duplicateValues" dxfId="0" priority="92"/>
  </conditionalFormatting>
  <conditionalFormatting sqref="A200">
    <cfRule type="duplicateValues" dxfId="0" priority="5"/>
  </conditionalFormatting>
  <conditionalFormatting sqref="A201">
    <cfRule type="duplicateValues" dxfId="0" priority="83"/>
  </conditionalFormatting>
  <conditionalFormatting sqref="A204">
    <cfRule type="duplicateValues" dxfId="0" priority="46"/>
  </conditionalFormatting>
  <conditionalFormatting sqref="A205">
    <cfRule type="duplicateValues" dxfId="0" priority="45"/>
  </conditionalFormatting>
  <conditionalFormatting sqref="A206">
    <cfRule type="duplicateValues" dxfId="0" priority="44"/>
  </conditionalFormatting>
  <conditionalFormatting sqref="A207">
    <cfRule type="duplicateValues" dxfId="0" priority="43"/>
  </conditionalFormatting>
  <conditionalFormatting sqref="A208">
    <cfRule type="duplicateValues" dxfId="0" priority="42"/>
  </conditionalFormatting>
  <conditionalFormatting sqref="A209">
    <cfRule type="duplicateValues" dxfId="0" priority="41"/>
  </conditionalFormatting>
  <conditionalFormatting sqref="A12:A15">
    <cfRule type="duplicateValues" dxfId="0" priority="105"/>
  </conditionalFormatting>
  <conditionalFormatting sqref="A16:A32">
    <cfRule type="duplicateValues" dxfId="0" priority="73"/>
  </conditionalFormatting>
  <conditionalFormatting sqref="A68:A70">
    <cfRule type="duplicateValues" dxfId="0" priority="72"/>
  </conditionalFormatting>
  <conditionalFormatting sqref="A71:A72">
    <cfRule type="duplicateValues" dxfId="0" priority="64"/>
  </conditionalFormatting>
  <conditionalFormatting sqref="A138:A140">
    <cfRule type="duplicateValues" dxfId="0" priority="112"/>
  </conditionalFormatting>
  <conditionalFormatting sqref="A210:A211">
    <cfRule type="duplicateValues" dxfId="0" priority="40"/>
  </conditionalFormatting>
  <conditionalFormatting sqref="H68:H70">
    <cfRule type="duplicateValues" dxfId="0" priority="71"/>
  </conditionalFormatting>
  <conditionalFormatting sqref="H71:H72">
    <cfRule type="duplicateValues" dxfId="0" priority="63"/>
  </conditionalFormatting>
  <conditionalFormatting sqref="I34:I36">
    <cfRule type="cellIs" dxfId="3" priority="59" operator="equal">
      <formula>0</formula>
    </cfRule>
  </conditionalFormatting>
  <conditionalFormatting sqref="I75:I79">
    <cfRule type="cellIs" dxfId="3" priority="57" operator="equal">
      <formula>0</formula>
    </cfRule>
  </conditionalFormatting>
  <conditionalFormatting sqref="I80:I115">
    <cfRule type="cellIs" dxfId="3" priority="80" operator="equal">
      <formula>0</formula>
    </cfRule>
  </conditionalFormatting>
  <conditionalFormatting sqref="I116:I140">
    <cfRule type="cellIs" dxfId="3" priority="88" operator="equal">
      <formula>0</formula>
    </cfRule>
  </conditionalFormatting>
  <conditionalFormatting sqref="I204:I211">
    <cfRule type="cellIs" dxfId="3" priority="50" operator="equal">
      <formula>0</formula>
    </cfRule>
  </conditionalFormatting>
  <conditionalFormatting sqref="J80:J115">
    <cfRule type="cellIs" dxfId="3" priority="77" operator="equal">
      <formula>"≥9 Months"</formula>
    </cfRule>
    <cfRule type="cellIs" dxfId="2" priority="78" operator="equal">
      <formula>"≥6 Months"</formula>
    </cfRule>
    <cfRule type="containsText" dxfId="1" priority="79" operator="between" text="1 Year">
      <formula>NOT(ISERROR(SEARCH("1 Year",J80)))</formula>
    </cfRule>
  </conditionalFormatting>
  <conditionalFormatting sqref="J204:J211">
    <cfRule type="cellIs" dxfId="3" priority="47" operator="equal">
      <formula>"≥9 Months"</formula>
    </cfRule>
    <cfRule type="cellIs" dxfId="2" priority="48" operator="equal">
      <formula>"≥6 Months"</formula>
    </cfRule>
    <cfRule type="containsText" dxfId="1" priority="49" operator="between" text="1 Year">
      <formula>NOT(ISERROR(SEARCH("1 Year",J204)))</formula>
    </cfRule>
  </conditionalFormatting>
  <conditionalFormatting sqref="A1 A132 A168:A172 A174:A181 A199 A202:A203 A212:A1048576">
    <cfRule type="duplicateValues" dxfId="0" priority="133"/>
  </conditionalFormatting>
  <conditionalFormatting sqref="I1:I33 I40 I42:I52 I54:I74 I141:I203 I212:I1048576">
    <cfRule type="cellIs" dxfId="3" priority="111" operator="equal">
      <formula>0</formula>
    </cfRule>
  </conditionalFormatting>
  <conditionalFormatting sqref="J1:J79 J141:J191 J193:J203 J212:J1048576">
    <cfRule type="cellIs" dxfId="3" priority="108" operator="equal">
      <formula>"≥9 Months"</formula>
    </cfRule>
    <cfRule type="cellIs" dxfId="2" priority="109" operator="equal">
      <formula>"≥6 Months"</formula>
    </cfRule>
    <cfRule type="containsText" dxfId="1" priority="110" operator="between" text="1 Year">
      <formula>NOT(ISERROR(SEARCH("1 Year",J1)))</formula>
    </cfRule>
  </conditionalFormatting>
  <conditionalFormatting sqref="A2:A11 A40 A42:A45 A48:A52 A57:A58">
    <cfRule type="duplicateValues" dxfId="0" priority="125"/>
  </conditionalFormatting>
  <conditionalFormatting sqref="A75:A76 A78">
    <cfRule type="duplicateValues" dxfId="0" priority="56"/>
  </conditionalFormatting>
  <conditionalFormatting sqref="A77 A79">
    <cfRule type="duplicateValues" dxfId="0" priority="4"/>
  </conditionalFormatting>
  <conditionalFormatting sqref="J116:J134 J138:J140">
    <cfRule type="cellIs" dxfId="3" priority="84" operator="equal">
      <formula>"≥9 Months"</formula>
    </cfRule>
    <cfRule type="cellIs" dxfId="2" priority="85" operator="equal">
      <formula>"≥6 Months"</formula>
    </cfRule>
    <cfRule type="containsText" dxfId="1" priority="86" operator="between" text="1 Year">
      <formula>NOT(ISERROR(SEARCH("1 Year",J116)))</formula>
    </cfRule>
  </conditionalFormatting>
  <pageMargins left="0.75" right="0.75" top="1" bottom="1" header="0.5" footer="0.5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海外库存总表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joylo</dc:creator>
  <cp:lastModifiedBy>eric</cp:lastModifiedBy>
  <dcterms:created xsi:type="dcterms:W3CDTF">2026-06-13T07:03:59Z</dcterms:created>
  <dcterms:modified xsi:type="dcterms:W3CDTF">2026-06-13T07:08:45Z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0A519F974ADB4029ADF7DDBDDA14CAFF_11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1</vt:i4>
  </property>
</Properties>
</file>